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aculdade\DIO\"/>
    </mc:Choice>
  </mc:AlternateContent>
  <xr:revisionPtr revIDLastSave="0" documentId="13_ncr:1_{660E9F2C-B406-4D8F-9614-BA2E2DB960A1}" xr6:coauthVersionLast="47" xr6:coauthVersionMax="47" xr10:uidLastSave="{00000000-0000-0000-0000-000000000000}"/>
  <bookViews>
    <workbookView xWindow="-120" yWindow="-120" windowWidth="29040" windowHeight="15720" tabRatio="3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3" l="1"/>
  <c r="F2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<sst xmlns="http://schemas.openxmlformats.org/spreadsheetml/2006/main" count="2023" uniqueCount="325">
  <si>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</si>
  <si>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</si>
  <si>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</si>
  <si>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</si>
  <si>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</si>
  <si>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</si>
  <si>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</si>
  <si>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</si>
  <si>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</si>
  <si>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</si>
  <si>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</si>
  <si>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</si>
  <si>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</si>
  <si>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</si>
  <si>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</si>
  <si>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</si>
  <si>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</si>
  <si>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</si>
  <si>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</si>
  <si>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</si>
  <si>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</si>
  <si>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</si>
  <si>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</si>
  <si>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</si>
  <si>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</si>
  <si>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</si>
  <si>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</si>
  <si>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</si>
  <si>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</si>
  <si>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</si>
  <si>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</si>
  <si>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</si>
  <si>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</si>
  <si>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</si>
  <si>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</si>
  <si>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</si>
  <si>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</si>
  <si>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</si>
  <si>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</si>
  <si>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</si>
  <si>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</si>
  <si>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</si>
  <si>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</si>
  <si>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</si>
  <si>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</si>
  <si>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</si>
  <si>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</si>
  <si>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</si>
  <si>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</si>
  <si>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</si>
  <si>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</si>
  <si>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</si>
  <si>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</si>
  <si>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</si>
  <si>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</si>
  <si>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</si>
  <si>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</si>
  <si>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</si>
  <si>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</si>
  <si>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</si>
  <si>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</si>
  <si>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</si>
  <si>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</si>
  <si>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</si>
  <si>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</si>
  <si>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</si>
  <si>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</si>
  <si>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</si>
  <si>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</si>
  <si>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</si>
  <si>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</si>
  <si>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</si>
  <si>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</si>
  <si>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</si>
  <si>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</si>
  <si>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</si>
  <si>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</si>
  <si>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</si>
  <si>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</si>
  <si>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</si>
  <si>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</si>
  <si>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</si>
  <si>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</si>
  <si>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</si>
  <si>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</si>
  <si>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</si>
  <si>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</si>
  <si>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</si>
  <si>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</si>
  <si>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</si>
  <si>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</si>
  <si>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</si>
  <si>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</si>
  <si>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</si>
  <si>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</si>
  <si>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</si>
  <si>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</si>
  <si>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</si>
  <si>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</si>
  <si>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</si>
  <si>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</si>
  <si>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</si>
  <si>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</si>
  <si>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</si>
  <si>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</si>
  <si>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</si>
  <si>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</si>
  <si>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</si>
  <si>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</si>
  <si>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</si>
  <si>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</si>
  <si>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</si>
  <si>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</si>
  <si>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</si>
  <si>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</si>
  <si>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</si>
  <si>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</si>
  <si>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</si>
  <si>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</si>
  <si>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</si>
  <si>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</si>
  <si>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</si>
  <si>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</si>
  <si>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</si>
  <si>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</si>
  <si>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</si>
  <si>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</si>
  <si>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</si>
  <si>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</si>
  <si>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</si>
  <si>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</si>
  <si>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</si>
  <si>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</si>
  <si>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</si>
  <si>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</si>
  <si>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</si>
  <si>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</si>
  <si>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</si>
  <si>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</si>
  <si>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</si>
  <si>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</si>
  <si>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</si>
  <si>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</si>
  <si>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</si>
  <si>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</si>
  <si>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</si>
  <si>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</si>
  <si>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</si>
  <si>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</si>
  <si>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</si>
  <si>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</si>
  <si>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</si>
  <si>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</si>
  <si>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</si>
  <si>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</si>
  <si>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</si>
  <si>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</si>
  <si>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</si>
  <si>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</si>
  <si>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</si>
  <si>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</si>
  <si>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</si>
  <si>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</si>
  <si>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</si>
  <si>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</si>
  <si>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</si>
  <si>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</si>
  <si>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</si>
  <si>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</si>
  <si>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</si>
  <si>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</si>
  <si>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</si>
  <si>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</si>
  <si>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</si>
  <si>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</si>
  <si>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</si>
  <si>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</si>
  <si>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</si>
  <si>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</si>
  <si>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</si>
  <si>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</si>
  <si>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</si>
  <si>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</si>
  <si>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</si>
  <si>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</si>
  <si>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</si>
  <si>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</si>
  <si>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</si>
  <si>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</si>
  <si>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</si>
  <si>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</si>
  <si>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</si>
  <si>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</si>
  <si>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</si>
  <si>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</si>
  <si>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</si>
  <si>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</si>
  <si>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</si>
  <si>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</si>
  <si>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</si>
  <si>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</si>
  <si>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</si>
  <si>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</si>
  <si>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</si>
  <si>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</si>
  <si>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</si>
  <si>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</si>
  <si>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</si>
  <si>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</si>
  <si>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</si>
  <si>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</si>
  <si>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</si>
  <si>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</si>
  <si>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</si>
  <si>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</si>
  <si>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</si>
  <si>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</si>
  <si>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</si>
  <si>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</si>
  <si>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</si>
  <si>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</si>
  <si>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</si>
  <si>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</si>
  <si>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</si>
  <si>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</si>
  <si>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</si>
  <si>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</si>
  <si>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</si>
  <si>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</si>
  <si>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</si>
  <si>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</si>
  <si>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</si>
  <si>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</si>
  <si>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</si>
  <si>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</si>
  <si>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</si>
  <si>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</si>
  <si>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</si>
  <si>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</si>
  <si>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</si>
  <si>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</si>
  <si>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</si>
  <si>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</si>
  <si>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</si>
  <si>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</si>
  <si>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</si>
  <si>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</si>
  <si>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</si>
  <si>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</si>
  <si>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</si>
  <si>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</si>
  <si>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</si>
  <si>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</si>
  <si>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</si>
  <si>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</si>
  <si>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</si>
  <si>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</si>
  <si>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</si>
  <si>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</si>
  <si>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</si>
  <si>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</si>
  <si>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</si>
  <si>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</si>
  <si>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</si>
  <si>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</si>
  <si>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</si>
  <si>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</si>
  <si>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</si>
  <si>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</si>
  <si>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</si>
  <si>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</si>
  <si>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</si>
  <si>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</si>
  <si>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</si>
  <si>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</si>
  <si>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</si>
  <si>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</si>
  <si>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</si>
  <si>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</si>
  <si>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</si>
  <si>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</si>
  <si>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</si>
  <si>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</si>
  <si>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</si>
  <si>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</si>
  <si>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</si>
  <si>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</si>
  <si>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</si>
  <si>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</si>
  <si>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</si>
  <si>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</si>
  <si>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</si>
  <si>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</si>
  <si>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</si>
  <si>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</si>
  <si>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</si>
  <si>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</si>
  <si>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</si>
  <si>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</si>
  <si>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</si>
  <si>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</si>
  <si>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</si>
  <si>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</si>
  <si>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</si>
  <si>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</si>
  <si>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</si>
  <si>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</si>
  <si>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</si>
  <si>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</si>
  <si>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</si>
  <si>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</si>
  <si>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</si>
  <si>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</si>
  <si>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 </t>
  </si>
  <si>
    <r>
      <t xml:space="preserve">Pergunta de Negócio 1 - Qual </t>
    </r>
    <r>
      <rPr>
        <b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de vendas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(contgendo todas as assinaturas agregadas)</t>
    </r>
  </si>
  <si>
    <t>Rótulos de Linha</t>
  </si>
  <si>
    <t>Total Geral</t>
  </si>
  <si>
    <t>Soma de Total Value</t>
  </si>
  <si>
    <r>
      <t xml:space="preserve">Pergunta de Negócio 2 - Qual </t>
    </r>
    <r>
      <rPr>
        <b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de vendas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separado por auto renovação e o que não é</t>
    </r>
  </si>
  <si>
    <t>XBOX GAME PASS SUBSCRIPTIONS SALES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</si>
  <si>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 xml:space="preserve"> Total</t>
    </r>
    <r>
      <rPr>
        <sz val="11"/>
        <color theme="1"/>
        <rFont val="Aptos Narrow"/>
        <family val="2"/>
        <scheme val="minor"/>
      </rPr>
      <t xml:space="preserve"> de Vendas de Assinaturas do EA Play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</si>
  <si>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</si>
  <si>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 xml:space="preserve"> Total</t>
    </r>
    <r>
      <rPr>
        <sz val="11"/>
        <color theme="1"/>
        <rFont val="Aptos Narrow"/>
        <family val="2"/>
        <scheme val="minor"/>
      </rPr>
      <t xml:space="preserve"> de Vendas de Assinaturas do Minecraft Season Pass</t>
    </r>
  </si>
  <si>
    <t>Soma de Minecraft Season Pass Price</t>
  </si>
  <si>
    <t>Periodo calculado: 01/01/2024 - 31/12/2024 | Data de Atualização: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</si>
</sst>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 Black"/>
      <family val="2"/>
    </font>
    <font>
      <u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ill="1"/>
    <xf numFmtId="0" fontId="4" fillId="0" borderId="2" xfId="1" applyFont="1" applyBorder="1" applyAlignment="1">
      <alignment vertical="top"/>
    </xf>
    <xf numFmtId="165" fontId="0" fillId="0" borderId="0" xfId="0" applyNumberFormat="1"/>
    <xf numFmtId="0" fontId="0" fillId="7" borderId="0" xfId="0" applyFill="1" applyBorder="1"/>
    <xf numFmtId="0" fontId="4" fillId="0" borderId="2" xfId="1" applyFont="1" applyFill="1" applyBorder="1" applyAlignment="1">
      <alignment horizontal="left" vertical="top" indent="8"/>
    </xf>
    <xf numFmtId="0" fontId="5" fillId="7" borderId="0" xfId="0" applyFont="1" applyFill="1"/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3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DACC552-7E5B-45D1-8EC5-CA3378D1694A}">
      <tableStyleElement type="wholeTable" dxfId="19"/>
      <tableStyleElement type="headerRow" dxfId="18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 GamePass.xlsx]C̳álculos!tbl_anual_total</c:name>
    <c:fmtId val="6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32-4E77-9B50-EA4BC4F300B2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32-4E77-9B50-EA4BC4F300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32-4E77-9B50-EA4BC4F30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6467535"/>
        <c:axId val="1856469455"/>
      </c:barChart>
      <c:catAx>
        <c:axId val="185646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469455"/>
        <c:crosses val="autoZero"/>
        <c:auto val="1"/>
        <c:lblAlgn val="ctr"/>
        <c:lblOffset val="100"/>
        <c:noMultiLvlLbl val="0"/>
      </c:catAx>
      <c:valAx>
        <c:axId val="185646945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564675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softEdge rad="254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2059781</xdr:colOff>
      <xdr:row>0</xdr:row>
      <xdr:rowOff>11906</xdr:rowOff>
    </xdr:from>
    <xdr:to>
      <xdr:col>3</xdr:col>
      <xdr:colOff>56804</xdr:colOff>
      <xdr:row>3</xdr:row>
      <xdr:rowOff>107157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B0F466-0B7A-4FF1-8EC8-ABD51038C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5" t="19231" r="72360" b="19230"/>
        <a:stretch>
          <a:fillRect/>
        </a:stretch>
      </xdr:blipFill>
      <xdr:spPr>
        <a:xfrm>
          <a:off x="2059781" y="11906"/>
          <a:ext cx="854523" cy="773907"/>
        </a:xfrm>
        <a:prstGeom prst="rect">
          <a:avLst/>
        </a:prstGeom>
      </xdr:spPr>
    </xdr:pic>
    <xdr:clientData/>
  </xdr:twoCellAnchor>
  <xdr:twoCellAnchor editAs="absolute">
    <xdr:from>
      <xdr:col>0</xdr:col>
      <xdr:colOff>59529</xdr:colOff>
      <xdr:row>6</xdr:row>
      <xdr:rowOff>59532</xdr:rowOff>
    </xdr:from>
    <xdr:to>
      <xdr:col>0</xdr:col>
      <xdr:colOff>1976436</xdr:colOff>
      <xdr:row>13</xdr:row>
      <xdr:rowOff>47626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C9388A2-F638-4844-AF31-B393178ADA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29" y="1178720"/>
              <a:ext cx="1916907" cy="1547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107156</xdr:colOff>
      <xdr:row>7</xdr:row>
      <xdr:rowOff>184545</xdr:rowOff>
    </xdr:from>
    <xdr:to>
      <xdr:col>9</xdr:col>
      <xdr:colOff>309530</xdr:colOff>
      <xdr:row>15</xdr:row>
      <xdr:rowOff>29765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2153F9D1-0C69-0F09-5F1A-A5596261521D}"/>
            </a:ext>
          </a:extLst>
        </xdr:cNvPr>
        <xdr:cNvGrpSpPr/>
      </xdr:nvGrpSpPr>
      <xdr:grpSpPr>
        <a:xfrm>
          <a:off x="2357437" y="1494233"/>
          <a:ext cx="4452906" cy="1595438"/>
          <a:chOff x="2357437" y="1012031"/>
          <a:chExt cx="4452906" cy="1595438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34F4013-DA03-57D4-C772-83247A9035B9}"/>
              </a:ext>
            </a:extLst>
          </xdr:cNvPr>
          <xdr:cNvSpPr/>
        </xdr:nvSpPr>
        <xdr:spPr>
          <a:xfrm>
            <a:off x="2357437" y="1047750"/>
            <a:ext cx="4441032" cy="1559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6" name="Retângulo 5">
            <a:extLst>
              <a:ext uri="{FF2B5EF4-FFF2-40B4-BE49-F238E27FC236}">
                <a16:creationId xmlns:a16="http://schemas.microsoft.com/office/drawing/2014/main" id="{3500BAD9-A0A3-4B98-A5F7-D68D18AE081A}"/>
              </a:ext>
            </a:extLst>
          </xdr:cNvPr>
          <xdr:cNvSpPr/>
        </xdr:nvSpPr>
        <xdr:spPr>
          <a:xfrm>
            <a:off x="3786187" y="1407319"/>
            <a:ext cx="2754865" cy="83743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802DAE3-7797-4D6E-AF4B-F5C6323DE834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16600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E50C9C7D-C459-41F7-9939-4B7F2482B7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8406" y="1273969"/>
            <a:ext cx="1215940" cy="12159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542A6B2E-24D4-19C0-4571-4325095E5000}"/>
              </a:ext>
            </a:extLst>
          </xdr:cNvPr>
          <xdr:cNvSpPr/>
        </xdr:nvSpPr>
        <xdr:spPr>
          <a:xfrm>
            <a:off x="2357437" y="1012031"/>
            <a:ext cx="4452906" cy="3873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DE VENDAS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461962</xdr:colOff>
      <xdr:row>7</xdr:row>
      <xdr:rowOff>177401</xdr:rowOff>
    </xdr:from>
    <xdr:to>
      <xdr:col>18</xdr:col>
      <xdr:colOff>250031</xdr:colOff>
      <xdr:row>15</xdr:row>
      <xdr:rowOff>36909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ADD8082-0331-871C-0403-E706C7AD1144}"/>
            </a:ext>
          </a:extLst>
        </xdr:cNvPr>
        <xdr:cNvGrpSpPr/>
      </xdr:nvGrpSpPr>
      <xdr:grpSpPr>
        <a:xfrm>
          <a:off x="7569993" y="1487089"/>
          <a:ext cx="4479132" cy="1609726"/>
          <a:chOff x="7569993" y="1057275"/>
          <a:chExt cx="4479132" cy="1609726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DD872CF7-CFB7-4843-9903-12D721A5F8A3}"/>
              </a:ext>
            </a:extLst>
          </xdr:cNvPr>
          <xdr:cNvSpPr/>
        </xdr:nvSpPr>
        <xdr:spPr>
          <a:xfrm>
            <a:off x="7569993" y="1092995"/>
            <a:ext cx="4479132" cy="157400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3">
        <xdr:nvSpPr>
          <xdr:cNvPr id="13" name="Retângulo 12">
            <a:extLst>
              <a:ext uri="{FF2B5EF4-FFF2-40B4-BE49-F238E27FC236}">
                <a16:creationId xmlns:a16="http://schemas.microsoft.com/office/drawing/2014/main" id="{44406EBB-C751-2338-9356-4C855E7A6796}"/>
              </a:ext>
            </a:extLst>
          </xdr:cNvPr>
          <xdr:cNvSpPr/>
        </xdr:nvSpPr>
        <xdr:spPr>
          <a:xfrm>
            <a:off x="8998743" y="1477566"/>
            <a:ext cx="2762251" cy="952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0812D97-940A-4631-8FC0-253ED774B10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pt-BR" sz="71400">
              <a:solidFill>
                <a:srgbClr val="22C55E"/>
              </a:solidFill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103ACBB6-EA29-BDE6-7F3A-D2AE23F2988B}"/>
              </a:ext>
            </a:extLst>
          </xdr:cNvPr>
          <xdr:cNvSpPr/>
        </xdr:nvSpPr>
        <xdr:spPr>
          <a:xfrm>
            <a:off x="7569993" y="1057275"/>
            <a:ext cx="4464844" cy="4405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DE VENDAS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C1219E2A-E448-40F1-B697-1F9C91006370}"/>
              </a:ext>
            </a:extLst>
          </xdr:cNvPr>
          <xdr:cNvGrpSpPr/>
        </xdr:nvGrpSpPr>
        <xdr:grpSpPr>
          <a:xfrm>
            <a:off x="7727157" y="1577578"/>
            <a:ext cx="1549476" cy="752476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D1610493-D770-CB59-C8E1-F03C7AC0B3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865B896D-5087-ACE5-2305-ACAB68082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28576</xdr:colOff>
      <xdr:row>15</xdr:row>
      <xdr:rowOff>182164</xdr:rowOff>
    </xdr:from>
    <xdr:to>
      <xdr:col>18</xdr:col>
      <xdr:colOff>273843</xdr:colOff>
      <xdr:row>37</xdr:row>
      <xdr:rowOff>47623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3ECAD53-3495-7DE4-4746-C8FF607F1C46}"/>
            </a:ext>
          </a:extLst>
        </xdr:cNvPr>
        <xdr:cNvGrpSpPr/>
      </xdr:nvGrpSpPr>
      <xdr:grpSpPr>
        <a:xfrm>
          <a:off x="2278857" y="3242070"/>
          <a:ext cx="9794080" cy="4056459"/>
          <a:chOff x="2278857" y="2896791"/>
          <a:chExt cx="9794080" cy="4056459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CE71594-C99C-4B81-82BE-518E4E963ED2}"/>
              </a:ext>
            </a:extLst>
          </xdr:cNvPr>
          <xdr:cNvGraphicFramePr>
            <a:graphicFrameLocks/>
          </xdr:cNvGraphicFramePr>
        </xdr:nvGraphicFramePr>
        <xdr:xfrm>
          <a:off x="2278857" y="3262312"/>
          <a:ext cx="9794080" cy="3690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F5C0759-4240-4ABC-90CD-61ABAE3D865E}"/>
              </a:ext>
            </a:extLst>
          </xdr:cNvPr>
          <xdr:cNvSpPr/>
        </xdr:nvSpPr>
        <xdr:spPr>
          <a:xfrm>
            <a:off x="2295525" y="2896791"/>
            <a:ext cx="9753600" cy="3873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XBOX GAME PASS</a:t>
            </a:r>
          </a:p>
          <a:p>
            <a:pPr algn="ctr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595312</xdr:colOff>
      <xdr:row>0</xdr:row>
      <xdr:rowOff>83343</xdr:rowOff>
    </xdr:from>
    <xdr:to>
      <xdr:col>0</xdr:col>
      <xdr:colOff>1290637</xdr:colOff>
      <xdr:row>3</xdr:row>
      <xdr:rowOff>100012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C3BCC6A-146E-49B8-945D-F4DB4FDEA48D}"/>
            </a:ext>
          </a:extLst>
        </xdr:cNvPr>
        <xdr:cNvSpPr/>
      </xdr:nvSpPr>
      <xdr:spPr>
        <a:xfrm>
          <a:off x="595312" y="8334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35718</xdr:colOff>
      <xdr:row>3</xdr:row>
      <xdr:rowOff>142875</xdr:rowOff>
    </xdr:from>
    <xdr:to>
      <xdr:col>0</xdr:col>
      <xdr:colOff>1869281</xdr:colOff>
      <xdr:row>5</xdr:row>
      <xdr:rowOff>142874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ACB946EE-DE4C-721F-2981-075D918237BD}"/>
            </a:ext>
          </a:extLst>
        </xdr:cNvPr>
        <xdr:cNvSpPr/>
      </xdr:nvSpPr>
      <xdr:spPr>
        <a:xfrm>
          <a:off x="35718" y="821531"/>
          <a:ext cx="1833563" cy="25003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</a:t>
          </a:r>
          <a:r>
            <a:rPr lang="pt-BR" sz="1100" baseline="0"/>
            <a:t> </a:t>
          </a:r>
          <a:r>
            <a:rPr lang="pt-BR" sz="1100"/>
            <a:t>Bem</a:t>
          </a:r>
          <a:r>
            <a:rPr lang="pt-BR" sz="1100" baseline="0"/>
            <a:t> vinda,  Liana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nesto" refreshedDate="46069.486452662037" createdVersion="8" refreshedVersion="8" minRefreshableVersion="3" recordCount="295" xr:uid="{6F39B17E-E8A0-428B-B046-E6929F0E389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458341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n v="30"/>
    <s v="Yes"/>
    <n v="20"/>
    <n v="5"/>
    <n v="60"/>
  </r>
  <r>
    <n v="3232"/>
    <x v="1"/>
    <x v="1"/>
    <d v="2024-01-15T00:00:00"/>
    <x v="1"/>
    <x v="1"/>
    <x v="1"/>
    <s v="No"/>
    <s v="-"/>
    <s v="No"/>
    <n v="0"/>
    <n v="0"/>
    <n v="5"/>
  </r>
  <r>
    <n v="3233"/>
    <x v="2"/>
    <x v="2"/>
    <d v="2024-02-10T00:00:00"/>
    <x v="0"/>
    <x v="2"/>
    <x v="2"/>
    <s v="No"/>
    <s v="-"/>
    <s v="Yes"/>
    <n v="20"/>
    <n v="10"/>
    <n v="20"/>
  </r>
  <r>
    <n v="3234"/>
    <x v="3"/>
    <x v="0"/>
    <d v="2024-02-20T00:00:00"/>
    <x v="1"/>
    <x v="0"/>
    <x v="0"/>
    <s v="Yes"/>
    <n v="30"/>
    <s v="Yes"/>
    <n v="20"/>
    <n v="3"/>
    <n v="62"/>
  </r>
  <r>
    <n v="3235"/>
    <x v="4"/>
    <x v="1"/>
    <d v="2024-03-05T00:00:00"/>
    <x v="0"/>
    <x v="1"/>
    <x v="0"/>
    <s v="No"/>
    <s v="-"/>
    <s v="No"/>
    <n v="0"/>
    <n v="1"/>
    <n v="4"/>
  </r>
  <r>
    <n v="3236"/>
    <x v="5"/>
    <x v="2"/>
    <d v="2024-03-02T00:00:00"/>
    <x v="1"/>
    <x v="2"/>
    <x v="0"/>
    <s v="No"/>
    <s v="-"/>
    <s v="Yes"/>
    <n v="20"/>
    <n v="2"/>
    <n v="28"/>
  </r>
  <r>
    <n v="3237"/>
    <x v="6"/>
    <x v="0"/>
    <d v="2024-03-03T00:00:00"/>
    <x v="0"/>
    <x v="0"/>
    <x v="2"/>
    <s v="Yes"/>
    <n v="30"/>
    <s v="Yes"/>
    <n v="20"/>
    <n v="10"/>
    <n v="55"/>
  </r>
  <r>
    <n v="3238"/>
    <x v="7"/>
    <x v="1"/>
    <d v="2024-03-04T00:00:00"/>
    <x v="0"/>
    <x v="1"/>
    <x v="1"/>
    <s v="No"/>
    <s v="-"/>
    <s v="No"/>
    <n v="0"/>
    <n v="0"/>
    <n v="5"/>
  </r>
  <r>
    <n v="3239"/>
    <x v="8"/>
    <x v="0"/>
    <d v="2024-03-05T00:00:00"/>
    <x v="1"/>
    <x v="0"/>
    <x v="0"/>
    <s v="Yes"/>
    <n v="30"/>
    <s v="Yes"/>
    <n v="20"/>
    <n v="5"/>
    <n v="60"/>
  </r>
  <r>
    <n v="3240"/>
    <x v="9"/>
    <x v="2"/>
    <d v="2024-03-06T00:00:00"/>
    <x v="0"/>
    <x v="2"/>
    <x v="2"/>
    <s v="No"/>
    <s v="-"/>
    <s v="Yes"/>
    <n v="20"/>
    <n v="15"/>
    <n v="15"/>
  </r>
  <r>
    <n v="3241"/>
    <x v="10"/>
    <x v="1"/>
    <d v="2024-03-07T00:00:00"/>
    <x v="1"/>
    <x v="1"/>
    <x v="0"/>
    <s v="No"/>
    <s v="-"/>
    <s v="No"/>
    <n v="0"/>
    <n v="1"/>
    <n v="4"/>
  </r>
  <r>
    <n v="3242"/>
    <x v="11"/>
    <x v="0"/>
    <d v="2024-03-08T00:00:00"/>
    <x v="0"/>
    <x v="0"/>
    <x v="1"/>
    <s v="Yes"/>
    <n v="30"/>
    <s v="Yes"/>
    <n v="20"/>
    <n v="20"/>
    <n v="45"/>
  </r>
  <r>
    <n v="3243"/>
    <x v="12"/>
    <x v="2"/>
    <d v="2024-03-09T00:00:00"/>
    <x v="1"/>
    <x v="2"/>
    <x v="0"/>
    <s v="No"/>
    <s v="-"/>
    <s v="Yes"/>
    <n v="20"/>
    <n v="10"/>
    <n v="20"/>
  </r>
  <r>
    <n v="3244"/>
    <x v="13"/>
    <x v="1"/>
    <d v="2024-03-10T00:00:00"/>
    <x v="0"/>
    <x v="1"/>
    <x v="2"/>
    <s v="No"/>
    <s v="-"/>
    <s v="No"/>
    <n v="0"/>
    <n v="0"/>
    <n v="5"/>
  </r>
  <r>
    <n v="3245"/>
    <x v="14"/>
    <x v="0"/>
    <d v="2024-03-11T00:00:00"/>
    <x v="1"/>
    <x v="0"/>
    <x v="0"/>
    <s v="Yes"/>
    <n v="30"/>
    <s v="Yes"/>
    <n v="20"/>
    <n v="8"/>
    <n v="57"/>
  </r>
  <r>
    <n v="3246"/>
    <x v="15"/>
    <x v="2"/>
    <d v="2024-03-12T00:00:00"/>
    <x v="0"/>
    <x v="2"/>
    <x v="1"/>
    <s v="No"/>
    <s v="-"/>
    <s v="Yes"/>
    <n v="20"/>
    <n v="12"/>
    <n v="18"/>
  </r>
  <r>
    <n v="3247"/>
    <x v="16"/>
    <x v="1"/>
    <d v="2024-03-13T00:00:00"/>
    <x v="1"/>
    <x v="1"/>
    <x v="0"/>
    <s v="No"/>
    <s v="-"/>
    <s v="No"/>
    <n v="0"/>
    <n v="2"/>
    <n v="3"/>
  </r>
  <r>
    <n v="3248"/>
    <x v="17"/>
    <x v="0"/>
    <d v="2024-03-14T00:00:00"/>
    <x v="0"/>
    <x v="0"/>
    <x v="2"/>
    <s v="Yes"/>
    <n v="30"/>
    <s v="Yes"/>
    <n v="20"/>
    <n v="7"/>
    <n v="58"/>
  </r>
  <r>
    <n v="3249"/>
    <x v="18"/>
    <x v="2"/>
    <d v="2024-03-15T00:00:00"/>
    <x v="1"/>
    <x v="2"/>
    <x v="0"/>
    <s v="No"/>
    <s v="-"/>
    <s v="Yes"/>
    <n v="20"/>
    <n v="5"/>
    <n v="25"/>
  </r>
  <r>
    <n v="3250"/>
    <x v="19"/>
    <x v="1"/>
    <d v="2024-03-16T00:00:00"/>
    <x v="0"/>
    <x v="1"/>
    <x v="1"/>
    <s v="No"/>
    <s v="-"/>
    <s v="No"/>
    <n v="0"/>
    <n v="0"/>
    <n v="5"/>
  </r>
  <r>
    <n v="3251"/>
    <x v="20"/>
    <x v="0"/>
    <d v="2024-03-17T00:00:00"/>
    <x v="1"/>
    <x v="0"/>
    <x v="0"/>
    <s v="Yes"/>
    <n v="30"/>
    <s v="Yes"/>
    <n v="20"/>
    <n v="3"/>
    <n v="62"/>
  </r>
  <r>
    <n v="3252"/>
    <x v="21"/>
    <x v="2"/>
    <d v="2024-03-18T00:00:00"/>
    <x v="0"/>
    <x v="2"/>
    <x v="2"/>
    <s v="No"/>
    <s v="-"/>
    <s v="Yes"/>
    <n v="20"/>
    <n v="15"/>
    <n v="15"/>
  </r>
  <r>
    <n v="3253"/>
    <x v="22"/>
    <x v="1"/>
    <d v="2024-03-19T00:00:00"/>
    <x v="1"/>
    <x v="1"/>
    <x v="0"/>
    <s v="No"/>
    <s v="-"/>
    <s v="No"/>
    <n v="0"/>
    <n v="1"/>
    <n v="4"/>
  </r>
  <r>
    <n v="3254"/>
    <x v="23"/>
    <x v="0"/>
    <d v="2024-03-20T00:00:00"/>
    <x v="0"/>
    <x v="0"/>
    <x v="1"/>
    <s v="Yes"/>
    <n v="30"/>
    <s v="Yes"/>
    <n v="20"/>
    <n v="20"/>
    <n v="45"/>
  </r>
  <r>
    <n v="3255"/>
    <x v="24"/>
    <x v="2"/>
    <d v="2024-03-21T00:00:00"/>
    <x v="1"/>
    <x v="2"/>
    <x v="0"/>
    <s v="No"/>
    <s v="-"/>
    <s v="Yes"/>
    <n v="20"/>
    <n v="10"/>
    <n v="20"/>
  </r>
  <r>
    <n v="3256"/>
    <x v="25"/>
    <x v="1"/>
    <d v="2024-03-22T00:00:00"/>
    <x v="0"/>
    <x v="1"/>
    <x v="2"/>
    <s v="No"/>
    <s v="-"/>
    <s v="No"/>
    <n v="0"/>
    <n v="0"/>
    <n v="5"/>
  </r>
  <r>
    <n v="3257"/>
    <x v="26"/>
    <x v="0"/>
    <d v="2024-03-23T00:00:00"/>
    <x v="1"/>
    <x v="0"/>
    <x v="0"/>
    <s v="Yes"/>
    <n v="30"/>
    <s v="Yes"/>
    <n v="20"/>
    <n v="5"/>
    <n v="60"/>
  </r>
  <r>
    <n v="3258"/>
    <x v="27"/>
    <x v="2"/>
    <d v="2024-03-24T00:00:00"/>
    <x v="0"/>
    <x v="2"/>
    <x v="1"/>
    <s v="No"/>
    <s v="-"/>
    <s v="Yes"/>
    <n v="20"/>
    <n v="15"/>
    <n v="15"/>
  </r>
  <r>
    <n v="3259"/>
    <x v="28"/>
    <x v="1"/>
    <d v="2024-03-25T00:00:00"/>
    <x v="1"/>
    <x v="1"/>
    <x v="0"/>
    <s v="No"/>
    <s v="-"/>
    <s v="No"/>
    <n v="0"/>
    <n v="1"/>
    <n v="4"/>
  </r>
  <r>
    <n v="3260"/>
    <x v="29"/>
    <x v="0"/>
    <d v="2024-03-26T00:00:00"/>
    <x v="0"/>
    <x v="0"/>
    <x v="2"/>
    <s v="Yes"/>
    <n v="30"/>
    <s v="Yes"/>
    <n v="20"/>
    <n v="7"/>
    <n v="58"/>
  </r>
  <r>
    <n v="3261"/>
    <x v="30"/>
    <x v="2"/>
    <d v="2024-03-27T00:00:00"/>
    <x v="1"/>
    <x v="2"/>
    <x v="0"/>
    <s v="No"/>
    <s v="-"/>
    <s v="Yes"/>
    <n v="20"/>
    <n v="10"/>
    <n v="20"/>
  </r>
  <r>
    <n v="3262"/>
    <x v="31"/>
    <x v="1"/>
    <d v="2024-03-28T00:00:00"/>
    <x v="0"/>
    <x v="1"/>
    <x v="1"/>
    <s v="No"/>
    <s v="-"/>
    <s v="No"/>
    <n v="0"/>
    <n v="0"/>
    <n v="5"/>
  </r>
  <r>
    <n v="3263"/>
    <x v="32"/>
    <x v="0"/>
    <d v="2024-03-29T00:00:00"/>
    <x v="1"/>
    <x v="0"/>
    <x v="0"/>
    <s v="Yes"/>
    <n v="30"/>
    <s v="Yes"/>
    <n v="20"/>
    <n v="3"/>
    <n v="62"/>
  </r>
  <r>
    <n v="3264"/>
    <x v="33"/>
    <x v="2"/>
    <d v="2024-03-30T00:00:00"/>
    <x v="0"/>
    <x v="2"/>
    <x v="2"/>
    <s v="No"/>
    <s v="-"/>
    <s v="Yes"/>
    <n v="20"/>
    <n v="15"/>
    <n v="15"/>
  </r>
  <r>
    <n v="3265"/>
    <x v="34"/>
    <x v="1"/>
    <d v="2024-03-31T00:00:00"/>
    <x v="1"/>
    <x v="1"/>
    <x v="0"/>
    <s v="No"/>
    <s v="-"/>
    <s v="No"/>
    <n v="0"/>
    <n v="1"/>
    <n v="4"/>
  </r>
  <r>
    <n v="3266"/>
    <x v="35"/>
    <x v="1"/>
    <d v="2024-04-01T00:00:00"/>
    <x v="0"/>
    <x v="1"/>
    <x v="0"/>
    <s v="No"/>
    <s v="-"/>
    <s v="No"/>
    <n v="0"/>
    <n v="0"/>
    <n v="5"/>
  </r>
  <r>
    <n v="3267"/>
    <x v="36"/>
    <x v="0"/>
    <d v="2024-04-02T00:00:00"/>
    <x v="1"/>
    <x v="0"/>
    <x v="2"/>
    <s v="Yes"/>
    <n v="30"/>
    <s v="Yes"/>
    <n v="20"/>
    <n v="7"/>
    <n v="58"/>
  </r>
  <r>
    <n v="3268"/>
    <x v="37"/>
    <x v="2"/>
    <d v="2024-04-03T00:00:00"/>
    <x v="0"/>
    <x v="2"/>
    <x v="1"/>
    <s v="No"/>
    <s v="-"/>
    <s v="Yes"/>
    <n v="20"/>
    <n v="10"/>
    <n v="20"/>
  </r>
  <r>
    <n v="3269"/>
    <x v="38"/>
    <x v="1"/>
    <d v="2024-04-04T00:00:00"/>
    <x v="1"/>
    <x v="1"/>
    <x v="2"/>
    <s v="No"/>
    <s v="-"/>
    <s v="No"/>
    <n v="0"/>
    <n v="1"/>
    <n v="4"/>
  </r>
  <r>
    <n v="3270"/>
    <x v="39"/>
    <x v="0"/>
    <d v="2024-04-05T00:00:00"/>
    <x v="0"/>
    <x v="0"/>
    <x v="0"/>
    <s v="Yes"/>
    <n v="30"/>
    <s v="Yes"/>
    <n v="20"/>
    <n v="15"/>
    <n v="50"/>
  </r>
  <r>
    <n v="3271"/>
    <x v="40"/>
    <x v="2"/>
    <d v="2024-04-06T00:00:00"/>
    <x v="1"/>
    <x v="2"/>
    <x v="0"/>
    <s v="No"/>
    <s v="-"/>
    <s v="Yes"/>
    <n v="20"/>
    <n v="5"/>
    <n v="25"/>
  </r>
  <r>
    <n v="3272"/>
    <x v="41"/>
    <x v="1"/>
    <d v="2024-04-07T00:00:00"/>
    <x v="0"/>
    <x v="1"/>
    <x v="1"/>
    <s v="No"/>
    <s v="-"/>
    <s v="No"/>
    <n v="0"/>
    <n v="0"/>
    <n v="5"/>
  </r>
  <r>
    <n v="3273"/>
    <x v="42"/>
    <x v="0"/>
    <d v="2024-04-08T00:00:00"/>
    <x v="1"/>
    <x v="0"/>
    <x v="2"/>
    <s v="Yes"/>
    <n v="30"/>
    <s v="Yes"/>
    <n v="20"/>
    <n v="20"/>
    <n v="45"/>
  </r>
  <r>
    <n v="3274"/>
    <x v="43"/>
    <x v="2"/>
    <d v="2024-04-09T00:00:00"/>
    <x v="0"/>
    <x v="2"/>
    <x v="2"/>
    <s v="No"/>
    <s v="-"/>
    <s v="Yes"/>
    <n v="20"/>
    <n v="12"/>
    <n v="18"/>
  </r>
  <r>
    <n v="3275"/>
    <x v="44"/>
    <x v="1"/>
    <d v="2024-04-10T00:00:00"/>
    <x v="1"/>
    <x v="1"/>
    <x v="0"/>
    <s v="No"/>
    <s v="-"/>
    <s v="No"/>
    <n v="0"/>
    <n v="2"/>
    <n v="3"/>
  </r>
  <r>
    <n v="3276"/>
    <x v="45"/>
    <x v="0"/>
    <d v="2024-04-11T00:00:00"/>
    <x v="0"/>
    <x v="0"/>
    <x v="1"/>
    <s v="Yes"/>
    <n v="30"/>
    <s v="Yes"/>
    <n v="20"/>
    <n v="5"/>
    <n v="60"/>
  </r>
  <r>
    <n v="3277"/>
    <x v="46"/>
    <x v="2"/>
    <d v="2024-04-12T00:00:00"/>
    <x v="1"/>
    <x v="2"/>
    <x v="0"/>
    <s v="No"/>
    <s v="-"/>
    <s v="Yes"/>
    <n v="20"/>
    <n v="10"/>
    <n v="20"/>
  </r>
  <r>
    <n v="3278"/>
    <x v="47"/>
    <x v="1"/>
    <d v="2024-04-13T00:00:00"/>
    <x v="0"/>
    <x v="1"/>
    <x v="2"/>
    <s v="No"/>
    <s v="-"/>
    <s v="No"/>
    <n v="0"/>
    <n v="0"/>
    <n v="5"/>
  </r>
  <r>
    <n v="3279"/>
    <x v="48"/>
    <x v="0"/>
    <d v="2024-04-14T00:00:00"/>
    <x v="1"/>
    <x v="0"/>
    <x v="0"/>
    <s v="Yes"/>
    <n v="30"/>
    <s v="Yes"/>
    <n v="20"/>
    <n v="3"/>
    <n v="62"/>
  </r>
  <r>
    <n v="3280"/>
    <x v="49"/>
    <x v="2"/>
    <d v="2024-04-15T00:00:00"/>
    <x v="0"/>
    <x v="2"/>
    <x v="1"/>
    <s v="No"/>
    <s v="-"/>
    <s v="Yes"/>
    <n v="20"/>
    <n v="15"/>
    <n v="15"/>
  </r>
  <r>
    <n v="3281"/>
    <x v="50"/>
    <x v="1"/>
    <d v="2024-04-16T00:00:00"/>
    <x v="1"/>
    <x v="1"/>
    <x v="0"/>
    <s v="No"/>
    <s v="-"/>
    <s v="No"/>
    <n v="0"/>
    <n v="1"/>
    <n v="4"/>
  </r>
  <r>
    <n v="3282"/>
    <x v="51"/>
    <x v="0"/>
    <d v="2024-04-17T00:00:00"/>
    <x v="0"/>
    <x v="0"/>
    <x v="2"/>
    <s v="Yes"/>
    <n v="30"/>
    <s v="Yes"/>
    <n v="20"/>
    <n v="7"/>
    <n v="58"/>
  </r>
  <r>
    <n v="3283"/>
    <x v="52"/>
    <x v="2"/>
    <d v="2024-04-18T00:00:00"/>
    <x v="1"/>
    <x v="2"/>
    <x v="0"/>
    <s v="No"/>
    <s v="-"/>
    <s v="Yes"/>
    <n v="20"/>
    <n v="10"/>
    <n v="20"/>
  </r>
  <r>
    <n v="3284"/>
    <x v="53"/>
    <x v="1"/>
    <d v="2024-04-19T00:00:00"/>
    <x v="0"/>
    <x v="1"/>
    <x v="1"/>
    <s v="No"/>
    <s v="-"/>
    <s v="No"/>
    <n v="0"/>
    <n v="0"/>
    <n v="5"/>
  </r>
  <r>
    <n v="3285"/>
    <x v="54"/>
    <x v="0"/>
    <d v="2024-04-20T00:00:00"/>
    <x v="1"/>
    <x v="0"/>
    <x v="0"/>
    <s v="Yes"/>
    <n v="30"/>
    <s v="Yes"/>
    <n v="20"/>
    <n v="20"/>
    <n v="45"/>
  </r>
  <r>
    <n v="3286"/>
    <x v="55"/>
    <x v="2"/>
    <d v="2024-04-21T00:00:00"/>
    <x v="0"/>
    <x v="2"/>
    <x v="2"/>
    <s v="No"/>
    <s v="-"/>
    <s v="Yes"/>
    <n v="20"/>
    <n v="15"/>
    <n v="15"/>
  </r>
  <r>
    <n v="3287"/>
    <x v="56"/>
    <x v="1"/>
    <d v="2024-04-22T00:00:00"/>
    <x v="1"/>
    <x v="1"/>
    <x v="0"/>
    <s v="No"/>
    <s v="-"/>
    <s v="No"/>
    <n v="0"/>
    <n v="1"/>
    <n v="4"/>
  </r>
  <r>
    <n v="3288"/>
    <x v="57"/>
    <x v="0"/>
    <d v="2024-04-23T00:00:00"/>
    <x v="0"/>
    <x v="0"/>
    <x v="1"/>
    <s v="Yes"/>
    <n v="30"/>
    <s v="Yes"/>
    <n v="20"/>
    <n v="3"/>
    <n v="62"/>
  </r>
  <r>
    <n v="3289"/>
    <x v="58"/>
    <x v="2"/>
    <d v="2024-04-24T00:00:00"/>
    <x v="1"/>
    <x v="2"/>
    <x v="0"/>
    <s v="No"/>
    <s v="-"/>
    <s v="Yes"/>
    <n v="20"/>
    <n v="10"/>
    <n v="20"/>
  </r>
  <r>
    <n v="3290"/>
    <x v="59"/>
    <x v="1"/>
    <d v="2024-04-25T00:00:00"/>
    <x v="0"/>
    <x v="1"/>
    <x v="2"/>
    <s v="No"/>
    <s v="-"/>
    <s v="No"/>
    <n v="0"/>
    <n v="0"/>
    <n v="5"/>
  </r>
  <r>
    <n v="3291"/>
    <x v="60"/>
    <x v="0"/>
    <d v="2024-04-26T00:00:00"/>
    <x v="1"/>
    <x v="0"/>
    <x v="0"/>
    <s v="Yes"/>
    <n v="30"/>
    <s v="Yes"/>
    <n v="20"/>
    <n v="5"/>
    <n v="60"/>
  </r>
  <r>
    <n v="3292"/>
    <x v="61"/>
    <x v="2"/>
    <d v="2024-04-27T00:00:00"/>
    <x v="0"/>
    <x v="2"/>
    <x v="1"/>
    <s v="No"/>
    <s v="-"/>
    <s v="Yes"/>
    <n v="20"/>
    <n v="15"/>
    <n v="15"/>
  </r>
  <r>
    <n v="3293"/>
    <x v="62"/>
    <x v="1"/>
    <d v="2024-04-28T00:00:00"/>
    <x v="1"/>
    <x v="1"/>
    <x v="0"/>
    <s v="No"/>
    <s v="-"/>
    <s v="No"/>
    <n v="0"/>
    <n v="1"/>
    <n v="4"/>
  </r>
  <r>
    <n v="3294"/>
    <x v="63"/>
    <x v="0"/>
    <d v="2024-04-29T00:00:00"/>
    <x v="0"/>
    <x v="0"/>
    <x v="2"/>
    <s v="Yes"/>
    <n v="30"/>
    <s v="Yes"/>
    <n v="20"/>
    <n v="20"/>
    <n v="45"/>
  </r>
  <r>
    <n v="3295"/>
    <x v="64"/>
    <x v="2"/>
    <d v="2024-04-30T00:00:00"/>
    <x v="1"/>
    <x v="2"/>
    <x v="0"/>
    <s v="No"/>
    <s v="-"/>
    <s v="Yes"/>
    <n v="20"/>
    <n v="5"/>
    <n v="25"/>
  </r>
  <r>
    <n v="3296"/>
    <x v="65"/>
    <x v="1"/>
    <d v="2024-05-01T00:00:00"/>
    <x v="1"/>
    <x v="1"/>
    <x v="0"/>
    <s v="No"/>
    <s v="-"/>
    <s v="No"/>
    <n v="0"/>
    <n v="0"/>
    <n v="5"/>
  </r>
  <r>
    <n v="3297"/>
    <x v="66"/>
    <x v="0"/>
    <d v="2024-05-02T00:00:00"/>
    <x v="0"/>
    <x v="0"/>
    <x v="2"/>
    <s v="Yes"/>
    <n v="30"/>
    <s v="Yes"/>
    <n v="20"/>
    <n v="7"/>
    <n v="58"/>
  </r>
  <r>
    <n v="3298"/>
    <x v="67"/>
    <x v="2"/>
    <d v="2024-05-03T00:00:00"/>
    <x v="1"/>
    <x v="2"/>
    <x v="1"/>
    <s v="No"/>
    <s v="-"/>
    <s v="Yes"/>
    <n v="20"/>
    <n v="10"/>
    <n v="20"/>
  </r>
  <r>
    <n v="3299"/>
    <x v="68"/>
    <x v="1"/>
    <d v="2024-05-04T00:00:00"/>
    <x v="0"/>
    <x v="1"/>
    <x v="2"/>
    <s v="No"/>
    <s v="-"/>
    <s v="No"/>
    <n v="0"/>
    <n v="1"/>
    <n v="4"/>
  </r>
  <r>
    <n v="3300"/>
    <x v="69"/>
    <x v="0"/>
    <d v="2024-05-05T00:00:00"/>
    <x v="1"/>
    <x v="0"/>
    <x v="0"/>
    <s v="Yes"/>
    <n v="30"/>
    <s v="Yes"/>
    <n v="20"/>
    <n v="15"/>
    <n v="50"/>
  </r>
  <r>
    <n v="3301"/>
    <x v="70"/>
    <x v="2"/>
    <d v="2024-05-06T00:00:00"/>
    <x v="0"/>
    <x v="2"/>
    <x v="0"/>
    <s v="No"/>
    <s v="-"/>
    <s v="Yes"/>
    <n v="20"/>
    <n v="5"/>
    <n v="25"/>
  </r>
  <r>
    <n v="3302"/>
    <x v="71"/>
    <x v="1"/>
    <d v="2024-05-07T00:00:00"/>
    <x v="1"/>
    <x v="1"/>
    <x v="1"/>
    <s v="No"/>
    <s v="-"/>
    <s v="No"/>
    <n v="0"/>
    <n v="0"/>
    <n v="5"/>
  </r>
  <r>
    <n v="3303"/>
    <x v="72"/>
    <x v="0"/>
    <d v="2024-05-08T00:00:00"/>
    <x v="0"/>
    <x v="0"/>
    <x v="2"/>
    <s v="Yes"/>
    <n v="30"/>
    <s v="Yes"/>
    <n v="20"/>
    <n v="20"/>
    <n v="45"/>
  </r>
  <r>
    <n v="3304"/>
    <x v="73"/>
    <x v="2"/>
    <d v="2024-05-09T00:00:00"/>
    <x v="1"/>
    <x v="2"/>
    <x v="2"/>
    <s v="No"/>
    <s v="-"/>
    <s v="Yes"/>
    <n v="20"/>
    <n v="12"/>
    <n v="18"/>
  </r>
  <r>
    <n v="3305"/>
    <x v="74"/>
    <x v="1"/>
    <d v="2024-05-10T00:00:00"/>
    <x v="0"/>
    <x v="1"/>
    <x v="0"/>
    <s v="No"/>
    <s v="-"/>
    <s v="No"/>
    <n v="0"/>
    <n v="2"/>
    <n v="3"/>
  </r>
  <r>
    <n v="3306"/>
    <x v="75"/>
    <x v="0"/>
    <d v="2024-05-11T00:00:00"/>
    <x v="1"/>
    <x v="0"/>
    <x v="1"/>
    <s v="Yes"/>
    <n v="30"/>
    <s v="Yes"/>
    <n v="20"/>
    <n v="5"/>
    <n v="60"/>
  </r>
  <r>
    <n v="3307"/>
    <x v="76"/>
    <x v="2"/>
    <d v="2024-05-12T00:00:00"/>
    <x v="0"/>
    <x v="2"/>
    <x v="0"/>
    <s v="No"/>
    <s v="-"/>
    <s v="Yes"/>
    <n v="20"/>
    <n v="10"/>
    <n v="20"/>
  </r>
  <r>
    <n v="3308"/>
    <x v="77"/>
    <x v="1"/>
    <d v="2024-05-13T00:00:00"/>
    <x v="1"/>
    <x v="1"/>
    <x v="2"/>
    <s v="No"/>
    <s v="-"/>
    <s v="No"/>
    <n v="0"/>
    <n v="0"/>
    <n v="5"/>
  </r>
  <r>
    <n v="3309"/>
    <x v="78"/>
    <x v="0"/>
    <d v="2024-05-14T00:00:00"/>
    <x v="0"/>
    <x v="0"/>
    <x v="0"/>
    <s v="Yes"/>
    <n v="30"/>
    <s v="Yes"/>
    <n v="20"/>
    <n v="3"/>
    <n v="62"/>
  </r>
  <r>
    <n v="3310"/>
    <x v="79"/>
    <x v="2"/>
    <d v="2024-05-15T00:00:00"/>
    <x v="1"/>
    <x v="2"/>
    <x v="1"/>
    <s v="No"/>
    <s v="-"/>
    <s v="Yes"/>
    <n v="20"/>
    <n v="15"/>
    <n v="15"/>
  </r>
  <r>
    <n v="3311"/>
    <x v="80"/>
    <x v="1"/>
    <d v="2024-05-16T00:00:00"/>
    <x v="0"/>
    <x v="1"/>
    <x v="0"/>
    <s v="No"/>
    <s v="-"/>
    <s v="No"/>
    <n v="0"/>
    <n v="1"/>
    <n v="4"/>
  </r>
  <r>
    <n v="3312"/>
    <x v="81"/>
    <x v="0"/>
    <d v="2024-05-17T00:00:00"/>
    <x v="1"/>
    <x v="0"/>
    <x v="2"/>
    <s v="Yes"/>
    <n v="30"/>
    <s v="Yes"/>
    <n v="20"/>
    <n v="7"/>
    <n v="58"/>
  </r>
  <r>
    <n v="3313"/>
    <x v="82"/>
    <x v="2"/>
    <d v="2024-05-18T00:00:00"/>
    <x v="0"/>
    <x v="2"/>
    <x v="0"/>
    <s v="No"/>
    <s v="-"/>
    <s v="Yes"/>
    <n v="20"/>
    <n v="10"/>
    <n v="20"/>
  </r>
  <r>
    <n v="3314"/>
    <x v="83"/>
    <x v="1"/>
    <d v="2024-05-19T00:00:00"/>
    <x v="1"/>
    <x v="1"/>
    <x v="1"/>
    <s v="No"/>
    <s v="-"/>
    <s v="No"/>
    <n v="0"/>
    <n v="0"/>
    <n v="5"/>
  </r>
  <r>
    <n v="3315"/>
    <x v="84"/>
    <x v="0"/>
    <d v="2024-05-20T00:00:00"/>
    <x v="0"/>
    <x v="0"/>
    <x v="0"/>
    <s v="Yes"/>
    <n v="30"/>
    <s v="Yes"/>
    <n v="20"/>
    <n v="20"/>
    <n v="45"/>
  </r>
  <r>
    <n v="3316"/>
    <x v="85"/>
    <x v="2"/>
    <d v="2024-05-21T00:00:00"/>
    <x v="1"/>
    <x v="2"/>
    <x v="2"/>
    <s v="No"/>
    <s v="-"/>
    <s v="Yes"/>
    <n v="20"/>
    <n v="15"/>
    <n v="15"/>
  </r>
  <r>
    <n v="3317"/>
    <x v="86"/>
    <x v="1"/>
    <d v="2024-05-22T00:00:00"/>
    <x v="0"/>
    <x v="1"/>
    <x v="0"/>
    <s v="No"/>
    <s v="-"/>
    <s v="No"/>
    <n v="0"/>
    <n v="1"/>
    <n v="4"/>
  </r>
  <r>
    <n v="3318"/>
    <x v="87"/>
    <x v="0"/>
    <d v="2024-05-23T00:00:00"/>
    <x v="1"/>
    <x v="0"/>
    <x v="1"/>
    <s v="Yes"/>
    <n v="30"/>
    <s v="Yes"/>
    <n v="20"/>
    <n v="3"/>
    <n v="62"/>
  </r>
  <r>
    <n v="3319"/>
    <x v="88"/>
    <x v="2"/>
    <d v="2024-05-24T00:00:00"/>
    <x v="0"/>
    <x v="2"/>
    <x v="0"/>
    <s v="No"/>
    <s v="-"/>
    <s v="Yes"/>
    <n v="20"/>
    <n v="10"/>
    <n v="20"/>
  </r>
  <r>
    <n v="3320"/>
    <x v="89"/>
    <x v="1"/>
    <d v="2024-05-25T00:00:00"/>
    <x v="1"/>
    <x v="1"/>
    <x v="2"/>
    <s v="No"/>
    <s v="-"/>
    <s v="No"/>
    <n v="0"/>
    <n v="0"/>
    <n v="5"/>
  </r>
  <r>
    <n v="3321"/>
    <x v="90"/>
    <x v="0"/>
    <d v="2024-05-26T00:00:00"/>
    <x v="0"/>
    <x v="0"/>
    <x v="0"/>
    <s v="Yes"/>
    <n v="30"/>
    <s v="Yes"/>
    <n v="20"/>
    <n v="5"/>
    <n v="60"/>
  </r>
  <r>
    <n v="3322"/>
    <x v="91"/>
    <x v="2"/>
    <d v="2024-05-27T00:00:00"/>
    <x v="1"/>
    <x v="2"/>
    <x v="1"/>
    <s v="No"/>
    <s v="-"/>
    <s v="Yes"/>
    <n v="20"/>
    <n v="15"/>
    <n v="15"/>
  </r>
  <r>
    <n v="3323"/>
    <x v="92"/>
    <x v="1"/>
    <d v="2024-05-28T00:00:00"/>
    <x v="0"/>
    <x v="1"/>
    <x v="0"/>
    <s v="No"/>
    <s v="-"/>
    <s v="No"/>
    <n v="0"/>
    <n v="1"/>
    <n v="4"/>
  </r>
  <r>
    <n v="3324"/>
    <x v="93"/>
    <x v="0"/>
    <d v="2024-05-29T00:00:00"/>
    <x v="1"/>
    <x v="0"/>
    <x v="2"/>
    <s v="Yes"/>
    <n v="30"/>
    <s v="Yes"/>
    <n v="20"/>
    <n v="20"/>
    <n v="45"/>
  </r>
  <r>
    <n v="3325"/>
    <x v="94"/>
    <x v="2"/>
    <d v="2024-05-30T00:00:00"/>
    <x v="0"/>
    <x v="2"/>
    <x v="2"/>
    <s v="No"/>
    <s v="-"/>
    <s v="Yes"/>
    <n v="20"/>
    <n v="15"/>
    <n v="15"/>
  </r>
  <r>
    <n v="3326"/>
    <x v="95"/>
    <x v="1"/>
    <d v="2024-05-31T00:00:00"/>
    <x v="1"/>
    <x v="1"/>
    <x v="1"/>
    <s v="No"/>
    <s v="-"/>
    <s v="No"/>
    <n v="0"/>
    <n v="0"/>
    <n v="5"/>
  </r>
  <r>
    <n v="3327"/>
    <x v="96"/>
    <x v="0"/>
    <d v="2024-06-01T00:00:00"/>
    <x v="0"/>
    <x v="0"/>
    <x v="0"/>
    <s v="Yes"/>
    <n v="30"/>
    <s v="Yes"/>
    <n v="20"/>
    <n v="7"/>
    <n v="58"/>
  </r>
  <r>
    <n v="3328"/>
    <x v="97"/>
    <x v="2"/>
    <d v="2024-06-02T00:00:00"/>
    <x v="1"/>
    <x v="2"/>
    <x v="1"/>
    <s v="No"/>
    <s v="-"/>
    <s v="Yes"/>
    <n v="20"/>
    <n v="10"/>
    <n v="20"/>
  </r>
  <r>
    <n v="3329"/>
    <x v="98"/>
    <x v="1"/>
    <d v="2024-06-03T00:00:00"/>
    <x v="0"/>
    <x v="1"/>
    <x v="2"/>
    <s v="No"/>
    <s v="-"/>
    <s v="No"/>
    <n v="0"/>
    <n v="1"/>
    <n v="4"/>
  </r>
  <r>
    <n v="3330"/>
    <x v="99"/>
    <x v="0"/>
    <d v="2024-06-04T00:00:00"/>
    <x v="1"/>
    <x v="0"/>
    <x v="0"/>
    <s v="Yes"/>
    <n v="30"/>
    <s v="Yes"/>
    <n v="20"/>
    <n v="15"/>
    <n v="50"/>
  </r>
  <r>
    <n v="3331"/>
    <x v="100"/>
    <x v="2"/>
    <d v="2024-06-05T00:00:00"/>
    <x v="0"/>
    <x v="2"/>
    <x v="0"/>
    <s v="No"/>
    <s v="-"/>
    <s v="Yes"/>
    <n v="20"/>
    <n v="5"/>
    <n v="25"/>
  </r>
  <r>
    <n v="3332"/>
    <x v="101"/>
    <x v="1"/>
    <d v="2024-06-06T00:00:00"/>
    <x v="1"/>
    <x v="1"/>
    <x v="1"/>
    <s v="No"/>
    <s v="-"/>
    <s v="No"/>
    <n v="0"/>
    <n v="0"/>
    <n v="5"/>
  </r>
  <r>
    <n v="3333"/>
    <x v="102"/>
    <x v="0"/>
    <d v="2024-06-07T00:00:00"/>
    <x v="0"/>
    <x v="0"/>
    <x v="2"/>
    <s v="Yes"/>
    <n v="30"/>
    <s v="Yes"/>
    <n v="20"/>
    <n v="20"/>
    <n v="45"/>
  </r>
  <r>
    <n v="3334"/>
    <x v="103"/>
    <x v="2"/>
    <d v="2024-06-08T00:00:00"/>
    <x v="1"/>
    <x v="2"/>
    <x v="2"/>
    <s v="No"/>
    <s v="-"/>
    <s v="Yes"/>
    <n v="20"/>
    <n v="12"/>
    <n v="18"/>
  </r>
  <r>
    <n v="3335"/>
    <x v="104"/>
    <x v="1"/>
    <d v="2024-06-09T00:00:00"/>
    <x v="0"/>
    <x v="1"/>
    <x v="0"/>
    <s v="No"/>
    <s v="-"/>
    <s v="No"/>
    <n v="0"/>
    <n v="2"/>
    <n v="3"/>
  </r>
  <r>
    <n v="3336"/>
    <x v="105"/>
    <x v="1"/>
    <d v="2024-06-10T00:00:00"/>
    <x v="0"/>
    <x v="1"/>
    <x v="0"/>
    <s v="No"/>
    <s v="-"/>
    <s v="No"/>
    <n v="0"/>
    <n v="0"/>
    <n v="5"/>
  </r>
  <r>
    <n v="3337"/>
    <x v="106"/>
    <x v="0"/>
    <d v="2024-06-11T00:00:00"/>
    <x v="1"/>
    <x v="0"/>
    <x v="2"/>
    <s v="Yes"/>
    <n v="30"/>
    <s v="Yes"/>
    <n v="20"/>
    <n v="7"/>
    <n v="58"/>
  </r>
  <r>
    <n v="3338"/>
    <x v="107"/>
    <x v="2"/>
    <d v="2024-06-12T00:00:00"/>
    <x v="0"/>
    <x v="2"/>
    <x v="1"/>
    <s v="No"/>
    <s v="-"/>
    <s v="Yes"/>
    <n v="20"/>
    <n v="10"/>
    <n v="20"/>
  </r>
  <r>
    <n v="3339"/>
    <x v="108"/>
    <x v="1"/>
    <d v="2024-06-13T00:00:00"/>
    <x v="1"/>
    <x v="1"/>
    <x v="2"/>
    <s v="No"/>
    <s v="-"/>
    <s v="No"/>
    <n v="0"/>
    <n v="1"/>
    <n v="4"/>
  </r>
  <r>
    <n v="3340"/>
    <x v="109"/>
    <x v="0"/>
    <d v="2024-06-14T00:00:00"/>
    <x v="0"/>
    <x v="0"/>
    <x v="0"/>
    <s v="Yes"/>
    <n v="30"/>
    <s v="Yes"/>
    <n v="20"/>
    <n v="15"/>
    <n v="50"/>
  </r>
  <r>
    <n v="3341"/>
    <x v="110"/>
    <x v="2"/>
    <d v="2024-06-15T00:00:00"/>
    <x v="1"/>
    <x v="2"/>
    <x v="0"/>
    <s v="No"/>
    <s v="-"/>
    <s v="Yes"/>
    <n v="20"/>
    <n v="5"/>
    <n v="25"/>
  </r>
  <r>
    <n v="3342"/>
    <x v="111"/>
    <x v="1"/>
    <d v="2024-06-16T00:00:00"/>
    <x v="0"/>
    <x v="1"/>
    <x v="1"/>
    <s v="No"/>
    <s v="-"/>
    <s v="No"/>
    <n v="0"/>
    <n v="0"/>
    <n v="5"/>
  </r>
  <r>
    <n v="3343"/>
    <x v="112"/>
    <x v="0"/>
    <d v="2024-06-17T00:00:00"/>
    <x v="1"/>
    <x v="0"/>
    <x v="2"/>
    <s v="Yes"/>
    <n v="30"/>
    <s v="Yes"/>
    <n v="20"/>
    <n v="20"/>
    <n v="45"/>
  </r>
  <r>
    <n v="3344"/>
    <x v="113"/>
    <x v="2"/>
    <d v="2024-06-18T00:00:00"/>
    <x v="0"/>
    <x v="2"/>
    <x v="2"/>
    <s v="No"/>
    <s v="-"/>
    <s v="Yes"/>
    <n v="20"/>
    <n v="12"/>
    <n v="18"/>
  </r>
  <r>
    <n v="3345"/>
    <x v="114"/>
    <x v="1"/>
    <d v="2024-06-19T00:00:00"/>
    <x v="1"/>
    <x v="1"/>
    <x v="0"/>
    <s v="No"/>
    <s v="-"/>
    <s v="No"/>
    <n v="0"/>
    <n v="2"/>
    <n v="3"/>
  </r>
  <r>
    <n v="3346"/>
    <x v="115"/>
    <x v="0"/>
    <d v="2024-06-20T00:00:00"/>
    <x v="0"/>
    <x v="0"/>
    <x v="1"/>
    <s v="Yes"/>
    <n v="30"/>
    <s v="Yes"/>
    <n v="20"/>
    <n v="5"/>
    <n v="60"/>
  </r>
  <r>
    <n v="3347"/>
    <x v="116"/>
    <x v="2"/>
    <d v="2024-06-21T00:00:00"/>
    <x v="1"/>
    <x v="2"/>
    <x v="0"/>
    <s v="No"/>
    <s v="-"/>
    <s v="Yes"/>
    <n v="20"/>
    <n v="10"/>
    <n v="20"/>
  </r>
  <r>
    <n v="3348"/>
    <x v="117"/>
    <x v="1"/>
    <d v="2024-06-22T00:00:00"/>
    <x v="0"/>
    <x v="1"/>
    <x v="2"/>
    <s v="No"/>
    <s v="-"/>
    <s v="No"/>
    <n v="0"/>
    <n v="0"/>
    <n v="5"/>
  </r>
  <r>
    <n v="3349"/>
    <x v="93"/>
    <x v="0"/>
    <d v="2024-06-23T00:00:00"/>
    <x v="1"/>
    <x v="0"/>
    <x v="0"/>
    <s v="Yes"/>
    <n v="30"/>
    <s v="Yes"/>
    <n v="20"/>
    <n v="3"/>
    <n v="62"/>
  </r>
  <r>
    <n v="3350"/>
    <x v="118"/>
    <x v="2"/>
    <d v="2024-06-24T00:00:00"/>
    <x v="0"/>
    <x v="2"/>
    <x v="1"/>
    <s v="No"/>
    <s v="-"/>
    <s v="Yes"/>
    <n v="20"/>
    <n v="15"/>
    <n v="15"/>
  </r>
  <r>
    <n v="3351"/>
    <x v="119"/>
    <x v="1"/>
    <d v="2024-06-25T00:00:00"/>
    <x v="1"/>
    <x v="1"/>
    <x v="0"/>
    <s v="No"/>
    <s v="-"/>
    <s v="No"/>
    <n v="0"/>
    <n v="1"/>
    <n v="4"/>
  </r>
  <r>
    <n v="3352"/>
    <x v="120"/>
    <x v="0"/>
    <d v="2024-06-26T00:00:00"/>
    <x v="0"/>
    <x v="0"/>
    <x v="2"/>
    <s v="Yes"/>
    <n v="30"/>
    <s v="Yes"/>
    <n v="20"/>
    <n v="7"/>
    <n v="58"/>
  </r>
  <r>
    <n v="3353"/>
    <x v="121"/>
    <x v="2"/>
    <d v="2024-06-27T00:00:00"/>
    <x v="1"/>
    <x v="2"/>
    <x v="0"/>
    <s v="No"/>
    <s v="-"/>
    <s v="Yes"/>
    <n v="20"/>
    <n v="10"/>
    <n v="20"/>
  </r>
  <r>
    <n v="3354"/>
    <x v="122"/>
    <x v="1"/>
    <d v="2024-06-28T00:00:00"/>
    <x v="0"/>
    <x v="1"/>
    <x v="1"/>
    <s v="No"/>
    <s v="-"/>
    <s v="No"/>
    <n v="0"/>
    <n v="0"/>
    <n v="5"/>
  </r>
  <r>
    <n v="3355"/>
    <x v="123"/>
    <x v="0"/>
    <d v="2024-06-29T00:00:00"/>
    <x v="1"/>
    <x v="0"/>
    <x v="0"/>
    <s v="Yes"/>
    <n v="30"/>
    <s v="Yes"/>
    <n v="20"/>
    <n v="20"/>
    <n v="45"/>
  </r>
  <r>
    <n v="3356"/>
    <x v="124"/>
    <x v="2"/>
    <d v="2024-06-30T00:00:00"/>
    <x v="0"/>
    <x v="2"/>
    <x v="2"/>
    <s v="No"/>
    <s v="-"/>
    <s v="Yes"/>
    <n v="20"/>
    <n v="15"/>
    <n v="15"/>
  </r>
  <r>
    <n v="3357"/>
    <x v="125"/>
    <x v="1"/>
    <d v="2024-07-01T00:00:00"/>
    <x v="1"/>
    <x v="1"/>
    <x v="0"/>
    <s v="No"/>
    <s v="-"/>
    <s v="No"/>
    <n v="0"/>
    <n v="1"/>
    <n v="4"/>
  </r>
  <r>
    <n v="3358"/>
    <x v="126"/>
    <x v="0"/>
    <d v="2024-07-02T00:00:00"/>
    <x v="0"/>
    <x v="0"/>
    <x v="1"/>
    <s v="Yes"/>
    <n v="30"/>
    <s v="Yes"/>
    <n v="20"/>
    <n v="3"/>
    <n v="62"/>
  </r>
  <r>
    <n v="3359"/>
    <x v="127"/>
    <x v="2"/>
    <d v="2024-07-03T00:00:00"/>
    <x v="1"/>
    <x v="2"/>
    <x v="0"/>
    <s v="No"/>
    <s v="-"/>
    <s v="Yes"/>
    <n v="20"/>
    <n v="10"/>
    <n v="20"/>
  </r>
  <r>
    <n v="3360"/>
    <x v="128"/>
    <x v="1"/>
    <d v="2024-07-04T00:00:00"/>
    <x v="0"/>
    <x v="1"/>
    <x v="2"/>
    <s v="No"/>
    <s v="-"/>
    <s v="No"/>
    <n v="0"/>
    <n v="0"/>
    <n v="5"/>
  </r>
  <r>
    <n v="3361"/>
    <x v="129"/>
    <x v="0"/>
    <d v="2024-07-05T00:00:00"/>
    <x v="1"/>
    <x v="0"/>
    <x v="0"/>
    <s v="Yes"/>
    <n v="30"/>
    <s v="Yes"/>
    <n v="20"/>
    <n v="15"/>
    <n v="50"/>
  </r>
  <r>
    <n v="3362"/>
    <x v="130"/>
    <x v="2"/>
    <d v="2024-07-06T00:00:00"/>
    <x v="0"/>
    <x v="2"/>
    <x v="1"/>
    <s v="No"/>
    <s v="-"/>
    <s v="Yes"/>
    <n v="20"/>
    <n v="15"/>
    <n v="15"/>
  </r>
  <r>
    <n v="3363"/>
    <x v="131"/>
    <x v="1"/>
    <d v="2024-07-07T00:00:00"/>
    <x v="1"/>
    <x v="1"/>
    <x v="0"/>
    <s v="No"/>
    <s v="-"/>
    <s v="No"/>
    <n v="0"/>
    <n v="1"/>
    <n v="4"/>
  </r>
  <r>
    <n v="3364"/>
    <x v="132"/>
    <x v="0"/>
    <d v="2024-07-08T00:00:00"/>
    <x v="0"/>
    <x v="0"/>
    <x v="2"/>
    <s v="Yes"/>
    <n v="30"/>
    <s v="Yes"/>
    <n v="20"/>
    <n v="7"/>
    <n v="58"/>
  </r>
  <r>
    <n v="3365"/>
    <x v="133"/>
    <x v="2"/>
    <d v="2024-07-09T00:00:00"/>
    <x v="1"/>
    <x v="2"/>
    <x v="0"/>
    <s v="No"/>
    <s v="-"/>
    <s v="Yes"/>
    <n v="20"/>
    <n v="10"/>
    <n v="20"/>
  </r>
  <r>
    <n v="3366"/>
    <x v="134"/>
    <x v="1"/>
    <d v="2024-07-10T00:00:00"/>
    <x v="0"/>
    <x v="1"/>
    <x v="0"/>
    <s v="No"/>
    <s v="-"/>
    <s v="No"/>
    <n v="0"/>
    <n v="0"/>
    <n v="5"/>
  </r>
  <r>
    <n v="3367"/>
    <x v="135"/>
    <x v="0"/>
    <d v="2024-07-11T00:00:00"/>
    <x v="1"/>
    <x v="0"/>
    <x v="2"/>
    <s v="Yes"/>
    <n v="30"/>
    <s v="Yes"/>
    <n v="20"/>
    <n v="7"/>
    <n v="58"/>
  </r>
  <r>
    <n v="3368"/>
    <x v="136"/>
    <x v="2"/>
    <d v="2024-07-12T00:00:00"/>
    <x v="0"/>
    <x v="2"/>
    <x v="1"/>
    <s v="No"/>
    <s v="-"/>
    <s v="Yes"/>
    <n v="20"/>
    <n v="10"/>
    <n v="20"/>
  </r>
  <r>
    <n v="3369"/>
    <x v="137"/>
    <x v="1"/>
    <d v="2024-07-13T00:00:00"/>
    <x v="1"/>
    <x v="1"/>
    <x v="2"/>
    <s v="No"/>
    <s v="-"/>
    <s v="No"/>
    <n v="0"/>
    <n v="1"/>
    <n v="4"/>
  </r>
  <r>
    <n v="3370"/>
    <x v="138"/>
    <x v="0"/>
    <d v="2024-07-14T00:00:00"/>
    <x v="0"/>
    <x v="0"/>
    <x v="0"/>
    <s v="Yes"/>
    <n v="30"/>
    <s v="Yes"/>
    <n v="20"/>
    <n v="15"/>
    <n v="50"/>
  </r>
  <r>
    <n v="3371"/>
    <x v="139"/>
    <x v="2"/>
    <d v="2024-07-15T00:00:00"/>
    <x v="1"/>
    <x v="2"/>
    <x v="0"/>
    <s v="No"/>
    <s v="-"/>
    <s v="Yes"/>
    <n v="20"/>
    <n v="5"/>
    <n v="25"/>
  </r>
  <r>
    <n v="3372"/>
    <x v="140"/>
    <x v="1"/>
    <d v="2024-07-16T00:00:00"/>
    <x v="0"/>
    <x v="1"/>
    <x v="1"/>
    <s v="No"/>
    <s v="-"/>
    <s v="No"/>
    <n v="0"/>
    <n v="0"/>
    <n v="5"/>
  </r>
  <r>
    <n v="3373"/>
    <x v="141"/>
    <x v="0"/>
    <d v="2024-07-17T00:00:00"/>
    <x v="1"/>
    <x v="0"/>
    <x v="2"/>
    <s v="Yes"/>
    <n v="30"/>
    <s v="Yes"/>
    <n v="20"/>
    <n v="20"/>
    <n v="45"/>
  </r>
  <r>
    <n v="3374"/>
    <x v="142"/>
    <x v="2"/>
    <d v="2024-07-18T00:00:00"/>
    <x v="0"/>
    <x v="2"/>
    <x v="2"/>
    <s v="No"/>
    <s v="-"/>
    <s v="Yes"/>
    <n v="20"/>
    <n v="12"/>
    <n v="18"/>
  </r>
  <r>
    <n v="3375"/>
    <x v="143"/>
    <x v="1"/>
    <d v="2024-07-19T00:00:00"/>
    <x v="1"/>
    <x v="1"/>
    <x v="0"/>
    <s v="No"/>
    <s v="-"/>
    <s v="No"/>
    <n v="0"/>
    <n v="2"/>
    <n v="3"/>
  </r>
  <r>
    <n v="3376"/>
    <x v="144"/>
    <x v="0"/>
    <d v="2024-07-20T00:00:00"/>
    <x v="0"/>
    <x v="0"/>
    <x v="1"/>
    <s v="Yes"/>
    <n v="30"/>
    <s v="Yes"/>
    <n v="20"/>
    <n v="5"/>
    <n v="60"/>
  </r>
  <r>
    <n v="3377"/>
    <x v="145"/>
    <x v="2"/>
    <d v="2024-07-21T00:00:00"/>
    <x v="1"/>
    <x v="2"/>
    <x v="0"/>
    <s v="No"/>
    <s v="-"/>
    <s v="Yes"/>
    <n v="20"/>
    <n v="10"/>
    <n v="20"/>
  </r>
  <r>
    <n v="3378"/>
    <x v="146"/>
    <x v="1"/>
    <d v="2024-07-22T00:00:00"/>
    <x v="0"/>
    <x v="1"/>
    <x v="2"/>
    <s v="No"/>
    <s v="-"/>
    <s v="No"/>
    <n v="0"/>
    <n v="0"/>
    <n v="5"/>
  </r>
  <r>
    <n v="3379"/>
    <x v="147"/>
    <x v="0"/>
    <d v="2024-07-23T00:00:00"/>
    <x v="1"/>
    <x v="0"/>
    <x v="0"/>
    <s v="Yes"/>
    <n v="30"/>
    <s v="Yes"/>
    <n v="20"/>
    <n v="3"/>
    <n v="62"/>
  </r>
  <r>
    <n v="3380"/>
    <x v="148"/>
    <x v="2"/>
    <d v="2024-07-24T00:00:00"/>
    <x v="0"/>
    <x v="2"/>
    <x v="1"/>
    <s v="No"/>
    <s v="-"/>
    <s v="Yes"/>
    <n v="20"/>
    <n v="15"/>
    <n v="15"/>
  </r>
  <r>
    <n v="3381"/>
    <x v="149"/>
    <x v="1"/>
    <d v="2024-07-25T00:00:00"/>
    <x v="1"/>
    <x v="1"/>
    <x v="0"/>
    <s v="No"/>
    <s v="-"/>
    <s v="No"/>
    <n v="0"/>
    <n v="1"/>
    <n v="4"/>
  </r>
  <r>
    <n v="3382"/>
    <x v="150"/>
    <x v="0"/>
    <d v="2024-07-26T00:00:00"/>
    <x v="0"/>
    <x v="0"/>
    <x v="2"/>
    <s v="Yes"/>
    <n v="30"/>
    <s v="Yes"/>
    <n v="20"/>
    <n v="7"/>
    <n v="58"/>
  </r>
  <r>
    <n v="3383"/>
    <x v="151"/>
    <x v="2"/>
    <d v="2024-07-27T00:00:00"/>
    <x v="1"/>
    <x v="2"/>
    <x v="0"/>
    <s v="No"/>
    <s v="-"/>
    <s v="Yes"/>
    <n v="20"/>
    <n v="10"/>
    <n v="20"/>
  </r>
  <r>
    <n v="3384"/>
    <x v="152"/>
    <x v="1"/>
    <d v="2024-07-28T00:00:00"/>
    <x v="0"/>
    <x v="1"/>
    <x v="1"/>
    <s v="No"/>
    <s v="-"/>
    <s v="No"/>
    <n v="0"/>
    <n v="0"/>
    <n v="5"/>
  </r>
  <r>
    <n v="3385"/>
    <x v="153"/>
    <x v="0"/>
    <d v="2024-07-29T00:00:00"/>
    <x v="1"/>
    <x v="0"/>
    <x v="0"/>
    <s v="Yes"/>
    <n v="30"/>
    <s v="Yes"/>
    <n v="20"/>
    <n v="20"/>
    <n v="45"/>
  </r>
  <r>
    <n v="3386"/>
    <x v="154"/>
    <x v="2"/>
    <d v="2024-07-30T00:00:00"/>
    <x v="0"/>
    <x v="2"/>
    <x v="2"/>
    <s v="No"/>
    <s v="-"/>
    <s v="Yes"/>
    <n v="20"/>
    <n v="15"/>
    <n v="15"/>
  </r>
  <r>
    <n v="3387"/>
    <x v="155"/>
    <x v="1"/>
    <d v="2024-07-31T00:00:00"/>
    <x v="1"/>
    <x v="1"/>
    <x v="0"/>
    <s v="No"/>
    <s v="-"/>
    <s v="No"/>
    <n v="0"/>
    <n v="1"/>
    <n v="4"/>
  </r>
  <r>
    <n v="3388"/>
    <x v="156"/>
    <x v="0"/>
    <d v="2024-08-01T00:00:00"/>
    <x v="0"/>
    <x v="0"/>
    <x v="1"/>
    <s v="Yes"/>
    <n v="30"/>
    <s v="Yes"/>
    <n v="20"/>
    <n v="3"/>
    <n v="62"/>
  </r>
  <r>
    <n v="3389"/>
    <x v="157"/>
    <x v="2"/>
    <d v="2024-08-02T00:00:00"/>
    <x v="1"/>
    <x v="2"/>
    <x v="0"/>
    <s v="No"/>
    <s v="-"/>
    <s v="Yes"/>
    <n v="20"/>
    <n v="10"/>
    <n v="20"/>
  </r>
  <r>
    <n v="3390"/>
    <x v="158"/>
    <x v="1"/>
    <d v="2024-08-03T00:00:00"/>
    <x v="0"/>
    <x v="1"/>
    <x v="2"/>
    <s v="No"/>
    <s v="-"/>
    <s v="No"/>
    <n v="0"/>
    <n v="0"/>
    <n v="5"/>
  </r>
  <r>
    <n v="3391"/>
    <x v="58"/>
    <x v="0"/>
    <d v="2024-08-04T00:00:00"/>
    <x v="1"/>
    <x v="0"/>
    <x v="0"/>
    <s v="Yes"/>
    <n v="30"/>
    <s v="Yes"/>
    <n v="20"/>
    <n v="15"/>
    <n v="50"/>
  </r>
  <r>
    <n v="3392"/>
    <x v="159"/>
    <x v="2"/>
    <d v="2024-08-05T00:00:00"/>
    <x v="0"/>
    <x v="2"/>
    <x v="1"/>
    <s v="No"/>
    <s v="-"/>
    <s v="Yes"/>
    <n v="20"/>
    <n v="15"/>
    <n v="15"/>
  </r>
  <r>
    <n v="3393"/>
    <x v="160"/>
    <x v="1"/>
    <d v="2024-08-06T00:00:00"/>
    <x v="1"/>
    <x v="1"/>
    <x v="0"/>
    <s v="No"/>
    <s v="-"/>
    <s v="No"/>
    <n v="0"/>
    <n v="1"/>
    <n v="4"/>
  </r>
  <r>
    <n v="3394"/>
    <x v="161"/>
    <x v="0"/>
    <d v="2024-08-07T00:00:00"/>
    <x v="0"/>
    <x v="0"/>
    <x v="2"/>
    <s v="Yes"/>
    <n v="30"/>
    <s v="Yes"/>
    <n v="20"/>
    <n v="7"/>
    <n v="58"/>
  </r>
  <r>
    <n v="3395"/>
    <x v="162"/>
    <x v="2"/>
    <d v="2024-08-08T00:00:00"/>
    <x v="1"/>
    <x v="2"/>
    <x v="0"/>
    <s v="No"/>
    <s v="-"/>
    <s v="Yes"/>
    <n v="20"/>
    <n v="10"/>
    <n v="20"/>
  </r>
  <r>
    <n v="3396"/>
    <x v="163"/>
    <x v="1"/>
    <d v="2024-08-09T00:00:00"/>
    <x v="0"/>
    <x v="1"/>
    <x v="1"/>
    <s v="No"/>
    <s v="-"/>
    <s v="No"/>
    <n v="0"/>
    <n v="0"/>
    <n v="5"/>
  </r>
  <r>
    <n v="3397"/>
    <x v="90"/>
    <x v="0"/>
    <d v="2024-08-10T00:00:00"/>
    <x v="1"/>
    <x v="0"/>
    <x v="0"/>
    <s v="Yes"/>
    <n v="30"/>
    <s v="Yes"/>
    <n v="20"/>
    <n v="20"/>
    <n v="45"/>
  </r>
  <r>
    <n v="3398"/>
    <x v="164"/>
    <x v="2"/>
    <d v="2024-08-11T00:00:00"/>
    <x v="0"/>
    <x v="2"/>
    <x v="2"/>
    <s v="No"/>
    <s v="-"/>
    <s v="Yes"/>
    <n v="20"/>
    <n v="15"/>
    <n v="15"/>
  </r>
  <r>
    <n v="3399"/>
    <x v="165"/>
    <x v="1"/>
    <d v="2024-08-12T00:00:00"/>
    <x v="1"/>
    <x v="1"/>
    <x v="0"/>
    <s v="No"/>
    <s v="-"/>
    <s v="No"/>
    <n v="0"/>
    <n v="1"/>
    <n v="4"/>
  </r>
  <r>
    <n v="3400"/>
    <x v="166"/>
    <x v="0"/>
    <d v="2024-08-13T00:00:00"/>
    <x v="0"/>
    <x v="0"/>
    <x v="1"/>
    <s v="Yes"/>
    <n v="30"/>
    <s v="Yes"/>
    <n v="20"/>
    <n v="5"/>
    <n v="60"/>
  </r>
  <r>
    <n v="3401"/>
    <x v="167"/>
    <x v="2"/>
    <d v="2024-08-14T00:00:00"/>
    <x v="1"/>
    <x v="2"/>
    <x v="0"/>
    <s v="No"/>
    <s v="-"/>
    <s v="Yes"/>
    <n v="20"/>
    <n v="10"/>
    <n v="20"/>
  </r>
  <r>
    <n v="3402"/>
    <x v="168"/>
    <x v="1"/>
    <d v="2024-08-15T00:00:00"/>
    <x v="0"/>
    <x v="1"/>
    <x v="2"/>
    <s v="No"/>
    <s v="-"/>
    <s v="No"/>
    <n v="0"/>
    <n v="0"/>
    <n v="5"/>
  </r>
  <r>
    <n v="3403"/>
    <x v="169"/>
    <x v="0"/>
    <d v="2024-08-16T00:00:00"/>
    <x v="1"/>
    <x v="0"/>
    <x v="0"/>
    <s v="Yes"/>
    <n v="30"/>
    <s v="Yes"/>
    <n v="20"/>
    <n v="3"/>
    <n v="62"/>
  </r>
  <r>
    <n v="3404"/>
    <x v="170"/>
    <x v="2"/>
    <d v="2024-08-17T00:00:00"/>
    <x v="0"/>
    <x v="2"/>
    <x v="1"/>
    <s v="No"/>
    <s v="-"/>
    <s v="Yes"/>
    <n v="20"/>
    <n v="15"/>
    <n v="15"/>
  </r>
  <r>
    <n v="3405"/>
    <x v="171"/>
    <x v="1"/>
    <d v="2024-08-18T00:00:00"/>
    <x v="1"/>
    <x v="1"/>
    <x v="0"/>
    <s v="No"/>
    <s v="-"/>
    <s v="No"/>
    <n v="0"/>
    <n v="1"/>
    <n v="4"/>
  </r>
  <r>
    <n v="3406"/>
    <x v="172"/>
    <x v="1"/>
    <d v="2024-08-19T00:00:00"/>
    <x v="0"/>
    <x v="1"/>
    <x v="0"/>
    <s v="No"/>
    <s v="-"/>
    <s v="No"/>
    <n v="0"/>
    <n v="0"/>
    <n v="5"/>
  </r>
  <r>
    <n v="3407"/>
    <x v="173"/>
    <x v="0"/>
    <d v="2024-08-20T00:00:00"/>
    <x v="1"/>
    <x v="0"/>
    <x v="2"/>
    <s v="Yes"/>
    <n v="30"/>
    <s v="Yes"/>
    <n v="20"/>
    <n v="7"/>
    <n v="58"/>
  </r>
  <r>
    <n v="3408"/>
    <x v="174"/>
    <x v="2"/>
    <d v="2024-08-21T00:00:00"/>
    <x v="0"/>
    <x v="2"/>
    <x v="1"/>
    <s v="No"/>
    <s v="-"/>
    <s v="Yes"/>
    <n v="20"/>
    <n v="10"/>
    <n v="20"/>
  </r>
  <r>
    <n v="3409"/>
    <x v="175"/>
    <x v="1"/>
    <d v="2024-08-22T00:00:00"/>
    <x v="1"/>
    <x v="1"/>
    <x v="2"/>
    <s v="No"/>
    <s v="-"/>
    <s v="No"/>
    <n v="0"/>
    <n v="1"/>
    <n v="4"/>
  </r>
  <r>
    <n v="3410"/>
    <x v="176"/>
    <x v="0"/>
    <d v="2024-08-23T00:00:00"/>
    <x v="0"/>
    <x v="0"/>
    <x v="0"/>
    <s v="Yes"/>
    <n v="30"/>
    <s v="Yes"/>
    <n v="20"/>
    <n v="15"/>
    <n v="50"/>
  </r>
  <r>
    <n v="3411"/>
    <x v="177"/>
    <x v="2"/>
    <d v="2024-08-24T00:00:00"/>
    <x v="1"/>
    <x v="2"/>
    <x v="0"/>
    <s v="No"/>
    <s v="-"/>
    <s v="Yes"/>
    <n v="20"/>
    <n v="5"/>
    <n v="25"/>
  </r>
  <r>
    <n v="3412"/>
    <x v="178"/>
    <x v="1"/>
    <d v="2024-08-25T00:00:00"/>
    <x v="0"/>
    <x v="1"/>
    <x v="1"/>
    <s v="No"/>
    <s v="-"/>
    <s v="No"/>
    <n v="0"/>
    <n v="0"/>
    <n v="5"/>
  </r>
  <r>
    <n v="3413"/>
    <x v="179"/>
    <x v="0"/>
    <d v="2024-08-26T00:00:00"/>
    <x v="1"/>
    <x v="0"/>
    <x v="2"/>
    <s v="Yes"/>
    <n v="30"/>
    <s v="Yes"/>
    <n v="20"/>
    <n v="20"/>
    <n v="45"/>
  </r>
  <r>
    <n v="3414"/>
    <x v="180"/>
    <x v="2"/>
    <d v="2024-08-27T00:00:00"/>
    <x v="0"/>
    <x v="2"/>
    <x v="2"/>
    <s v="No"/>
    <s v="-"/>
    <s v="Yes"/>
    <n v="20"/>
    <n v="12"/>
    <n v="18"/>
  </r>
  <r>
    <n v="3415"/>
    <x v="181"/>
    <x v="1"/>
    <d v="2024-08-28T00:00:00"/>
    <x v="1"/>
    <x v="1"/>
    <x v="0"/>
    <s v="No"/>
    <s v="-"/>
    <s v="No"/>
    <n v="0"/>
    <n v="2"/>
    <n v="3"/>
  </r>
  <r>
    <n v="3416"/>
    <x v="182"/>
    <x v="0"/>
    <d v="2024-08-29T00:00:00"/>
    <x v="0"/>
    <x v="0"/>
    <x v="1"/>
    <s v="Yes"/>
    <n v="30"/>
    <s v="Yes"/>
    <n v="20"/>
    <n v="5"/>
    <n v="60"/>
  </r>
  <r>
    <n v="3417"/>
    <x v="183"/>
    <x v="2"/>
    <d v="2024-08-30T00:00:00"/>
    <x v="1"/>
    <x v="2"/>
    <x v="0"/>
    <s v="No"/>
    <s v="-"/>
    <s v="Yes"/>
    <n v="20"/>
    <n v="10"/>
    <n v="20"/>
  </r>
  <r>
    <n v="3418"/>
    <x v="184"/>
    <x v="1"/>
    <d v="2024-08-31T00:00:00"/>
    <x v="0"/>
    <x v="1"/>
    <x v="2"/>
    <s v="No"/>
    <s v="-"/>
    <s v="No"/>
    <n v="0"/>
    <n v="0"/>
    <n v="5"/>
  </r>
  <r>
    <n v="3419"/>
    <x v="185"/>
    <x v="0"/>
    <d v="2024-09-01T00:00:00"/>
    <x v="1"/>
    <x v="0"/>
    <x v="0"/>
    <s v="Yes"/>
    <n v="30"/>
    <s v="Yes"/>
    <n v="20"/>
    <n v="3"/>
    <n v="62"/>
  </r>
  <r>
    <n v="3420"/>
    <x v="186"/>
    <x v="2"/>
    <d v="2024-09-02T00:00:00"/>
    <x v="0"/>
    <x v="2"/>
    <x v="1"/>
    <s v="No"/>
    <s v="-"/>
    <s v="Yes"/>
    <n v="20"/>
    <n v="15"/>
    <n v="15"/>
  </r>
  <r>
    <n v="3421"/>
    <x v="15"/>
    <x v="1"/>
    <d v="2024-09-03T00:00:00"/>
    <x v="1"/>
    <x v="1"/>
    <x v="0"/>
    <s v="No"/>
    <s v="-"/>
    <s v="No"/>
    <n v="0"/>
    <n v="1"/>
    <n v="4"/>
  </r>
  <r>
    <n v="3422"/>
    <x v="187"/>
    <x v="0"/>
    <d v="2024-09-04T00:00:00"/>
    <x v="0"/>
    <x v="0"/>
    <x v="2"/>
    <s v="Yes"/>
    <n v="30"/>
    <s v="Yes"/>
    <n v="20"/>
    <n v="7"/>
    <n v="58"/>
  </r>
  <r>
    <n v="3423"/>
    <x v="188"/>
    <x v="2"/>
    <d v="2024-09-05T00:00:00"/>
    <x v="1"/>
    <x v="2"/>
    <x v="0"/>
    <s v="No"/>
    <s v="-"/>
    <s v="Yes"/>
    <n v="20"/>
    <n v="10"/>
    <n v="20"/>
  </r>
  <r>
    <n v="3424"/>
    <x v="14"/>
    <x v="1"/>
    <d v="2024-09-06T00:00:00"/>
    <x v="0"/>
    <x v="1"/>
    <x v="1"/>
    <s v="No"/>
    <s v="-"/>
    <s v="No"/>
    <n v="0"/>
    <n v="0"/>
    <n v="5"/>
  </r>
  <r>
    <n v="3425"/>
    <x v="189"/>
    <x v="0"/>
    <d v="2024-09-07T00:00:00"/>
    <x v="1"/>
    <x v="0"/>
    <x v="0"/>
    <s v="Yes"/>
    <n v="30"/>
    <s v="Yes"/>
    <n v="20"/>
    <n v="20"/>
    <n v="45"/>
  </r>
  <r>
    <n v="3426"/>
    <x v="167"/>
    <x v="2"/>
    <d v="2024-09-08T00:00:00"/>
    <x v="0"/>
    <x v="2"/>
    <x v="2"/>
    <s v="No"/>
    <s v="-"/>
    <s v="Yes"/>
    <n v="20"/>
    <n v="15"/>
    <n v="15"/>
  </r>
  <r>
    <n v="3427"/>
    <x v="190"/>
    <x v="1"/>
    <d v="2024-09-09T00:00:00"/>
    <x v="1"/>
    <x v="1"/>
    <x v="0"/>
    <s v="No"/>
    <s v="-"/>
    <s v="No"/>
    <n v="0"/>
    <n v="1"/>
    <n v="4"/>
  </r>
  <r>
    <n v="3428"/>
    <x v="191"/>
    <x v="0"/>
    <d v="2024-09-10T00:00:00"/>
    <x v="0"/>
    <x v="0"/>
    <x v="1"/>
    <s v="Yes"/>
    <n v="30"/>
    <s v="Yes"/>
    <n v="20"/>
    <n v="3"/>
    <n v="62"/>
  </r>
  <r>
    <n v="3429"/>
    <x v="192"/>
    <x v="2"/>
    <d v="2024-09-11T00:00:00"/>
    <x v="1"/>
    <x v="2"/>
    <x v="0"/>
    <s v="No"/>
    <s v="-"/>
    <s v="Yes"/>
    <n v="20"/>
    <n v="10"/>
    <n v="20"/>
  </r>
  <r>
    <n v="3430"/>
    <x v="193"/>
    <x v="1"/>
    <d v="2024-09-12T00:00:00"/>
    <x v="0"/>
    <x v="1"/>
    <x v="2"/>
    <s v="No"/>
    <s v="-"/>
    <s v="No"/>
    <n v="0"/>
    <n v="0"/>
    <n v="5"/>
  </r>
  <r>
    <n v="3431"/>
    <x v="194"/>
    <x v="0"/>
    <d v="2024-09-13T00:00:00"/>
    <x v="1"/>
    <x v="0"/>
    <x v="0"/>
    <s v="Yes"/>
    <n v="30"/>
    <s v="Yes"/>
    <n v="20"/>
    <n v="15"/>
    <n v="50"/>
  </r>
  <r>
    <n v="3432"/>
    <x v="195"/>
    <x v="2"/>
    <d v="2024-09-14T00:00:00"/>
    <x v="0"/>
    <x v="2"/>
    <x v="1"/>
    <s v="No"/>
    <s v="-"/>
    <s v="Yes"/>
    <n v="20"/>
    <n v="15"/>
    <n v="15"/>
  </r>
  <r>
    <n v="3433"/>
    <x v="196"/>
    <x v="1"/>
    <d v="2024-09-15T00:00:00"/>
    <x v="1"/>
    <x v="1"/>
    <x v="0"/>
    <s v="No"/>
    <s v="-"/>
    <s v="No"/>
    <n v="0"/>
    <n v="1"/>
    <n v="4"/>
  </r>
  <r>
    <n v="3434"/>
    <x v="197"/>
    <x v="0"/>
    <d v="2024-09-16T00:00:00"/>
    <x v="0"/>
    <x v="0"/>
    <x v="2"/>
    <s v="Yes"/>
    <n v="30"/>
    <s v="Yes"/>
    <n v="20"/>
    <n v="7"/>
    <n v="58"/>
  </r>
  <r>
    <n v="3435"/>
    <x v="198"/>
    <x v="2"/>
    <d v="2024-09-17T00:00:00"/>
    <x v="1"/>
    <x v="2"/>
    <x v="0"/>
    <s v="No"/>
    <s v="-"/>
    <s v="Yes"/>
    <n v="20"/>
    <n v="10"/>
    <n v="20"/>
  </r>
  <r>
    <n v="3436"/>
    <x v="199"/>
    <x v="1"/>
    <d v="2024-09-18T00:00:00"/>
    <x v="0"/>
    <x v="1"/>
    <x v="0"/>
    <s v="No"/>
    <s v="-"/>
    <s v="No"/>
    <n v="0"/>
    <n v="0"/>
    <n v="5"/>
  </r>
  <r>
    <n v="3437"/>
    <x v="200"/>
    <x v="0"/>
    <d v="2024-09-19T00:00:00"/>
    <x v="1"/>
    <x v="0"/>
    <x v="2"/>
    <s v="Yes"/>
    <n v="30"/>
    <s v="Yes"/>
    <n v="20"/>
    <n v="7"/>
    <n v="58"/>
  </r>
  <r>
    <n v="3438"/>
    <x v="201"/>
    <x v="2"/>
    <d v="2024-09-20T00:00:00"/>
    <x v="0"/>
    <x v="2"/>
    <x v="1"/>
    <s v="No"/>
    <s v="-"/>
    <s v="Yes"/>
    <n v="20"/>
    <n v="10"/>
    <n v="20"/>
  </r>
  <r>
    <n v="3439"/>
    <x v="202"/>
    <x v="1"/>
    <d v="2024-09-21T00:00:00"/>
    <x v="1"/>
    <x v="1"/>
    <x v="2"/>
    <s v="No"/>
    <s v="-"/>
    <s v="No"/>
    <n v="0"/>
    <n v="1"/>
    <n v="4"/>
  </r>
  <r>
    <n v="3440"/>
    <x v="203"/>
    <x v="0"/>
    <d v="2024-09-22T00:00:00"/>
    <x v="0"/>
    <x v="0"/>
    <x v="0"/>
    <s v="Yes"/>
    <n v="30"/>
    <s v="Yes"/>
    <n v="20"/>
    <n v="15"/>
    <n v="50"/>
  </r>
  <r>
    <n v="3441"/>
    <x v="204"/>
    <x v="2"/>
    <d v="2024-09-23T00:00:00"/>
    <x v="1"/>
    <x v="2"/>
    <x v="0"/>
    <s v="No"/>
    <s v="-"/>
    <s v="Yes"/>
    <n v="20"/>
    <n v="5"/>
    <n v="25"/>
  </r>
  <r>
    <n v="3442"/>
    <x v="205"/>
    <x v="1"/>
    <d v="2024-09-24T00:00:00"/>
    <x v="0"/>
    <x v="1"/>
    <x v="1"/>
    <s v="No"/>
    <s v="-"/>
    <s v="No"/>
    <n v="0"/>
    <n v="0"/>
    <n v="5"/>
  </r>
  <r>
    <n v="3443"/>
    <x v="206"/>
    <x v="0"/>
    <d v="2024-09-25T00:00:00"/>
    <x v="1"/>
    <x v="0"/>
    <x v="2"/>
    <s v="Yes"/>
    <n v="30"/>
    <s v="Yes"/>
    <n v="20"/>
    <n v="20"/>
    <n v="45"/>
  </r>
  <r>
    <n v="3444"/>
    <x v="207"/>
    <x v="2"/>
    <d v="2024-09-26T00:00:00"/>
    <x v="0"/>
    <x v="2"/>
    <x v="2"/>
    <s v="No"/>
    <s v="-"/>
    <s v="Yes"/>
    <n v="20"/>
    <n v="12"/>
    <n v="18"/>
  </r>
  <r>
    <n v="3445"/>
    <x v="37"/>
    <x v="1"/>
    <d v="2024-09-27T00:00:00"/>
    <x v="1"/>
    <x v="1"/>
    <x v="0"/>
    <s v="No"/>
    <s v="-"/>
    <s v="No"/>
    <n v="0"/>
    <n v="2"/>
    <n v="3"/>
  </r>
  <r>
    <n v="3446"/>
    <x v="208"/>
    <x v="0"/>
    <d v="2024-09-28T00:00:00"/>
    <x v="0"/>
    <x v="0"/>
    <x v="1"/>
    <s v="Yes"/>
    <n v="30"/>
    <s v="Yes"/>
    <n v="20"/>
    <n v="5"/>
    <n v="60"/>
  </r>
  <r>
    <n v="3447"/>
    <x v="209"/>
    <x v="2"/>
    <d v="2024-09-29T00:00:00"/>
    <x v="1"/>
    <x v="2"/>
    <x v="0"/>
    <s v="No"/>
    <s v="-"/>
    <s v="Yes"/>
    <n v="20"/>
    <n v="10"/>
    <n v="20"/>
  </r>
  <r>
    <n v="3448"/>
    <x v="210"/>
    <x v="1"/>
    <d v="2024-09-30T00:00:00"/>
    <x v="0"/>
    <x v="1"/>
    <x v="2"/>
    <s v="No"/>
    <s v="-"/>
    <s v="No"/>
    <n v="0"/>
    <n v="0"/>
    <n v="5"/>
  </r>
  <r>
    <n v="3449"/>
    <x v="211"/>
    <x v="0"/>
    <d v="2024-10-01T00:00:00"/>
    <x v="1"/>
    <x v="0"/>
    <x v="0"/>
    <s v="Yes"/>
    <n v="30"/>
    <s v="Yes"/>
    <n v="20"/>
    <n v="3"/>
    <n v="62"/>
  </r>
  <r>
    <n v="3450"/>
    <x v="212"/>
    <x v="2"/>
    <d v="2024-10-02T00:00:00"/>
    <x v="0"/>
    <x v="2"/>
    <x v="1"/>
    <s v="No"/>
    <s v="-"/>
    <s v="Yes"/>
    <n v="20"/>
    <n v="15"/>
    <n v="15"/>
  </r>
  <r>
    <n v="3451"/>
    <x v="213"/>
    <x v="1"/>
    <d v="2024-10-03T00:00:00"/>
    <x v="1"/>
    <x v="1"/>
    <x v="0"/>
    <s v="No"/>
    <s v="-"/>
    <s v="No"/>
    <n v="0"/>
    <n v="1"/>
    <n v="4"/>
  </r>
  <r>
    <n v="3452"/>
    <x v="191"/>
    <x v="0"/>
    <d v="2024-10-04T00:00:00"/>
    <x v="0"/>
    <x v="0"/>
    <x v="2"/>
    <s v="Yes"/>
    <n v="30"/>
    <s v="Yes"/>
    <n v="20"/>
    <n v="7"/>
    <n v="58"/>
  </r>
  <r>
    <n v="3453"/>
    <x v="45"/>
    <x v="2"/>
    <d v="2024-10-05T00:00:00"/>
    <x v="1"/>
    <x v="2"/>
    <x v="0"/>
    <s v="No"/>
    <s v="-"/>
    <s v="Yes"/>
    <n v="20"/>
    <n v="10"/>
    <n v="20"/>
  </r>
  <r>
    <n v="3454"/>
    <x v="214"/>
    <x v="1"/>
    <d v="2024-10-06T00:00:00"/>
    <x v="0"/>
    <x v="1"/>
    <x v="1"/>
    <s v="No"/>
    <s v="-"/>
    <s v="No"/>
    <n v="0"/>
    <n v="0"/>
    <n v="5"/>
  </r>
  <r>
    <n v="3455"/>
    <x v="215"/>
    <x v="0"/>
    <d v="2024-10-07T00:00:00"/>
    <x v="1"/>
    <x v="0"/>
    <x v="0"/>
    <s v="Yes"/>
    <n v="30"/>
    <s v="Yes"/>
    <n v="20"/>
    <n v="20"/>
    <n v="45"/>
  </r>
  <r>
    <n v="3456"/>
    <x v="216"/>
    <x v="2"/>
    <d v="2024-10-08T00:00:00"/>
    <x v="0"/>
    <x v="2"/>
    <x v="2"/>
    <s v="No"/>
    <s v="-"/>
    <s v="Yes"/>
    <n v="20"/>
    <n v="15"/>
    <n v="15"/>
  </r>
  <r>
    <n v="3457"/>
    <x v="217"/>
    <x v="1"/>
    <d v="2024-10-09T00:00:00"/>
    <x v="1"/>
    <x v="1"/>
    <x v="0"/>
    <s v="No"/>
    <s v="-"/>
    <s v="No"/>
    <n v="0"/>
    <n v="1"/>
    <n v="4"/>
  </r>
  <r>
    <n v="3458"/>
    <x v="218"/>
    <x v="0"/>
    <d v="2024-10-10T00:00:00"/>
    <x v="0"/>
    <x v="0"/>
    <x v="1"/>
    <s v="Yes"/>
    <n v="30"/>
    <s v="Yes"/>
    <n v="20"/>
    <n v="3"/>
    <n v="62"/>
  </r>
  <r>
    <n v="3459"/>
    <x v="219"/>
    <x v="2"/>
    <d v="2024-10-11T00:00:00"/>
    <x v="1"/>
    <x v="2"/>
    <x v="0"/>
    <s v="No"/>
    <s v="-"/>
    <s v="Yes"/>
    <n v="20"/>
    <n v="10"/>
    <n v="20"/>
  </r>
  <r>
    <n v="3460"/>
    <x v="127"/>
    <x v="1"/>
    <d v="2024-10-12T00:00:00"/>
    <x v="0"/>
    <x v="1"/>
    <x v="2"/>
    <s v="No"/>
    <s v="-"/>
    <s v="No"/>
    <n v="0"/>
    <n v="0"/>
    <n v="5"/>
  </r>
  <r>
    <n v="3461"/>
    <x v="220"/>
    <x v="0"/>
    <d v="2024-10-13T00:00:00"/>
    <x v="1"/>
    <x v="0"/>
    <x v="0"/>
    <s v="Yes"/>
    <n v="30"/>
    <s v="Yes"/>
    <n v="20"/>
    <n v="15"/>
    <n v="50"/>
  </r>
  <r>
    <n v="3462"/>
    <x v="221"/>
    <x v="2"/>
    <d v="2024-10-14T00:00:00"/>
    <x v="0"/>
    <x v="2"/>
    <x v="1"/>
    <s v="No"/>
    <s v="-"/>
    <s v="Yes"/>
    <n v="20"/>
    <n v="15"/>
    <n v="15"/>
  </r>
  <r>
    <n v="3463"/>
    <x v="222"/>
    <x v="1"/>
    <d v="2024-10-15T00:00:00"/>
    <x v="1"/>
    <x v="1"/>
    <x v="0"/>
    <s v="No"/>
    <s v="-"/>
    <s v="No"/>
    <n v="0"/>
    <n v="1"/>
    <n v="4"/>
  </r>
  <r>
    <n v="3464"/>
    <x v="223"/>
    <x v="0"/>
    <d v="2024-10-16T00:00:00"/>
    <x v="0"/>
    <x v="0"/>
    <x v="2"/>
    <s v="Yes"/>
    <n v="30"/>
    <s v="Yes"/>
    <n v="20"/>
    <n v="7"/>
    <n v="58"/>
  </r>
  <r>
    <n v="3465"/>
    <x v="224"/>
    <x v="2"/>
    <d v="2024-10-17T00:00:00"/>
    <x v="1"/>
    <x v="2"/>
    <x v="0"/>
    <s v="No"/>
    <s v="-"/>
    <s v="Yes"/>
    <n v="20"/>
    <n v="10"/>
    <n v="20"/>
  </r>
  <r>
    <n v="3466"/>
    <x v="225"/>
    <x v="1"/>
    <d v="2024-10-18T00:00:00"/>
    <x v="0"/>
    <x v="1"/>
    <x v="1"/>
    <s v="No"/>
    <s v="-"/>
    <s v="No"/>
    <n v="0"/>
    <n v="0"/>
    <n v="5"/>
  </r>
  <r>
    <n v="3467"/>
    <x v="226"/>
    <x v="0"/>
    <d v="2024-10-19T00:00:00"/>
    <x v="1"/>
    <x v="0"/>
    <x v="0"/>
    <s v="Yes"/>
    <n v="30"/>
    <s v="Yes"/>
    <n v="20"/>
    <n v="15"/>
    <n v="50"/>
  </r>
  <r>
    <n v="3468"/>
    <x v="227"/>
    <x v="2"/>
    <d v="2024-10-20T00:00:00"/>
    <x v="0"/>
    <x v="2"/>
    <x v="2"/>
    <s v="No"/>
    <s v="-"/>
    <s v="Yes"/>
    <n v="20"/>
    <n v="12"/>
    <n v="18"/>
  </r>
  <r>
    <n v="3469"/>
    <x v="228"/>
    <x v="1"/>
    <d v="2024-10-21T00:00:00"/>
    <x v="1"/>
    <x v="1"/>
    <x v="0"/>
    <s v="No"/>
    <s v="-"/>
    <s v="No"/>
    <n v="0"/>
    <n v="2"/>
    <n v="3"/>
  </r>
  <r>
    <n v="3470"/>
    <x v="229"/>
    <x v="0"/>
    <d v="2024-10-22T00:00:00"/>
    <x v="0"/>
    <x v="0"/>
    <x v="1"/>
    <s v="Yes"/>
    <n v="30"/>
    <s v="Yes"/>
    <n v="20"/>
    <n v="5"/>
    <n v="60"/>
  </r>
  <r>
    <n v="3471"/>
    <x v="230"/>
    <x v="2"/>
    <d v="2024-10-23T00:00:00"/>
    <x v="1"/>
    <x v="2"/>
    <x v="0"/>
    <s v="No"/>
    <s v="-"/>
    <s v="Yes"/>
    <n v="20"/>
    <n v="10"/>
    <n v="20"/>
  </r>
  <r>
    <n v="3472"/>
    <x v="231"/>
    <x v="1"/>
    <d v="2024-10-24T00:00:00"/>
    <x v="0"/>
    <x v="1"/>
    <x v="2"/>
    <s v="No"/>
    <s v="-"/>
    <s v="No"/>
    <n v="0"/>
    <n v="0"/>
    <n v="5"/>
  </r>
  <r>
    <n v="3473"/>
    <x v="140"/>
    <x v="0"/>
    <d v="2024-10-25T00:00:00"/>
    <x v="1"/>
    <x v="0"/>
    <x v="0"/>
    <s v="Yes"/>
    <n v="30"/>
    <s v="Yes"/>
    <n v="20"/>
    <n v="3"/>
    <n v="62"/>
  </r>
  <r>
    <n v="3474"/>
    <x v="232"/>
    <x v="2"/>
    <d v="2024-10-26T00:00:00"/>
    <x v="0"/>
    <x v="2"/>
    <x v="1"/>
    <s v="No"/>
    <s v="-"/>
    <s v="Yes"/>
    <n v="20"/>
    <n v="15"/>
    <n v="15"/>
  </r>
  <r>
    <n v="3475"/>
    <x v="233"/>
    <x v="1"/>
    <d v="2024-10-27T00:00:00"/>
    <x v="1"/>
    <x v="1"/>
    <x v="0"/>
    <s v="No"/>
    <s v="-"/>
    <s v="No"/>
    <n v="0"/>
    <n v="1"/>
    <n v="4"/>
  </r>
  <r>
    <n v="3476"/>
    <x v="234"/>
    <x v="0"/>
    <d v="2024-10-28T00:00:00"/>
    <x v="0"/>
    <x v="0"/>
    <x v="2"/>
    <s v="Yes"/>
    <n v="30"/>
    <s v="Yes"/>
    <n v="20"/>
    <n v="7"/>
    <n v="58"/>
  </r>
  <r>
    <n v="3477"/>
    <x v="235"/>
    <x v="2"/>
    <d v="2024-10-29T00:00:00"/>
    <x v="1"/>
    <x v="2"/>
    <x v="0"/>
    <s v="No"/>
    <s v="-"/>
    <s v="Yes"/>
    <n v="20"/>
    <n v="10"/>
    <n v="20"/>
  </r>
  <r>
    <n v="3478"/>
    <x v="236"/>
    <x v="1"/>
    <d v="2024-10-30T00:00:00"/>
    <x v="0"/>
    <x v="1"/>
    <x v="1"/>
    <s v="No"/>
    <s v="-"/>
    <s v="No"/>
    <n v="0"/>
    <n v="0"/>
    <n v="5"/>
  </r>
  <r>
    <n v="3479"/>
    <x v="237"/>
    <x v="0"/>
    <d v="2024-10-31T00:00:00"/>
    <x v="1"/>
    <x v="0"/>
    <x v="0"/>
    <s v="Yes"/>
    <n v="30"/>
    <s v="Yes"/>
    <n v="20"/>
    <n v="20"/>
    <n v="45"/>
  </r>
  <r>
    <n v="3480"/>
    <x v="238"/>
    <x v="2"/>
    <d v="2024-11-01T00:00:00"/>
    <x v="0"/>
    <x v="2"/>
    <x v="2"/>
    <s v="No"/>
    <s v="-"/>
    <s v="Yes"/>
    <n v="20"/>
    <n v="15"/>
    <n v="15"/>
  </r>
  <r>
    <n v="3481"/>
    <x v="239"/>
    <x v="1"/>
    <d v="2024-11-02T00:00:00"/>
    <x v="1"/>
    <x v="1"/>
    <x v="0"/>
    <s v="No"/>
    <s v="-"/>
    <s v="No"/>
    <n v="0"/>
    <n v="1"/>
    <n v="4"/>
  </r>
  <r>
    <n v="3482"/>
    <x v="240"/>
    <x v="0"/>
    <d v="2024-11-03T00:00:00"/>
    <x v="0"/>
    <x v="0"/>
    <x v="1"/>
    <s v="Yes"/>
    <n v="30"/>
    <s v="Yes"/>
    <n v="20"/>
    <n v="3"/>
    <n v="62"/>
  </r>
  <r>
    <n v="3483"/>
    <x v="241"/>
    <x v="2"/>
    <d v="2024-11-04T00:00:00"/>
    <x v="1"/>
    <x v="2"/>
    <x v="0"/>
    <s v="No"/>
    <s v="-"/>
    <s v="Yes"/>
    <n v="20"/>
    <n v="10"/>
    <n v="20"/>
  </r>
  <r>
    <n v="3484"/>
    <x v="242"/>
    <x v="1"/>
    <d v="2024-11-05T00:00:00"/>
    <x v="0"/>
    <x v="1"/>
    <x v="2"/>
    <s v="No"/>
    <s v="-"/>
    <s v="No"/>
    <n v="0"/>
    <n v="0"/>
    <n v="5"/>
  </r>
  <r>
    <n v="3485"/>
    <x v="243"/>
    <x v="0"/>
    <d v="2024-11-06T00:00:00"/>
    <x v="1"/>
    <x v="0"/>
    <x v="0"/>
    <s v="Yes"/>
    <n v="30"/>
    <s v="Yes"/>
    <n v="20"/>
    <n v="15"/>
    <n v="50"/>
  </r>
  <r>
    <n v="3486"/>
    <x v="244"/>
    <x v="1"/>
    <d v="2024-11-07T00:00:00"/>
    <x v="0"/>
    <x v="1"/>
    <x v="0"/>
    <s v="No"/>
    <s v="-"/>
    <s v="No"/>
    <n v="0"/>
    <n v="0"/>
    <n v="5"/>
  </r>
  <r>
    <n v="3487"/>
    <x v="245"/>
    <x v="0"/>
    <d v="2024-11-08T00:00:00"/>
    <x v="1"/>
    <x v="0"/>
    <x v="2"/>
    <s v="Yes"/>
    <n v="30"/>
    <s v="Yes"/>
    <n v="20"/>
    <n v="7"/>
    <n v="58"/>
  </r>
  <r>
    <n v="3488"/>
    <x v="246"/>
    <x v="2"/>
    <d v="2024-11-09T00:00:00"/>
    <x v="0"/>
    <x v="2"/>
    <x v="1"/>
    <s v="No"/>
    <s v="-"/>
    <s v="Yes"/>
    <n v="20"/>
    <n v="10"/>
    <n v="20"/>
  </r>
  <r>
    <n v="3489"/>
    <x v="247"/>
    <x v="1"/>
    <d v="2024-11-10T00:00:00"/>
    <x v="1"/>
    <x v="1"/>
    <x v="2"/>
    <s v="No"/>
    <s v="-"/>
    <s v="No"/>
    <n v="0"/>
    <n v="1"/>
    <n v="4"/>
  </r>
  <r>
    <n v="3490"/>
    <x v="248"/>
    <x v="0"/>
    <d v="2024-11-11T00:00:00"/>
    <x v="0"/>
    <x v="0"/>
    <x v="0"/>
    <s v="Yes"/>
    <n v="30"/>
    <s v="Yes"/>
    <n v="20"/>
    <n v="15"/>
    <n v="50"/>
  </r>
  <r>
    <n v="3491"/>
    <x v="249"/>
    <x v="2"/>
    <d v="2024-11-12T00:00:00"/>
    <x v="1"/>
    <x v="2"/>
    <x v="0"/>
    <s v="No"/>
    <s v="-"/>
    <s v="Yes"/>
    <n v="20"/>
    <n v="5"/>
    <n v="25"/>
  </r>
  <r>
    <n v="3492"/>
    <x v="250"/>
    <x v="1"/>
    <d v="2024-11-13T00:00:00"/>
    <x v="0"/>
    <x v="1"/>
    <x v="1"/>
    <s v="No"/>
    <s v="-"/>
    <s v="No"/>
    <n v="0"/>
    <n v="0"/>
    <n v="5"/>
  </r>
  <r>
    <n v="3493"/>
    <x v="251"/>
    <x v="0"/>
    <d v="2024-11-14T00:00:00"/>
    <x v="1"/>
    <x v="0"/>
    <x v="2"/>
    <s v="Yes"/>
    <n v="30"/>
    <s v="Yes"/>
    <n v="20"/>
    <n v="20"/>
    <n v="45"/>
  </r>
  <r>
    <n v="3494"/>
    <x v="252"/>
    <x v="2"/>
    <d v="2024-11-15T00:00:00"/>
    <x v="0"/>
    <x v="2"/>
    <x v="2"/>
    <s v="No"/>
    <s v="-"/>
    <s v="Yes"/>
    <n v="20"/>
    <n v="12"/>
    <n v="18"/>
  </r>
  <r>
    <n v="3495"/>
    <x v="253"/>
    <x v="1"/>
    <d v="2024-11-16T00:00:00"/>
    <x v="1"/>
    <x v="1"/>
    <x v="0"/>
    <s v="No"/>
    <s v="-"/>
    <s v="No"/>
    <n v="0"/>
    <n v="2"/>
    <n v="3"/>
  </r>
  <r>
    <n v="3496"/>
    <x v="254"/>
    <x v="0"/>
    <d v="2024-11-17T00:00:00"/>
    <x v="0"/>
    <x v="0"/>
    <x v="1"/>
    <s v="Yes"/>
    <n v="30"/>
    <s v="Yes"/>
    <n v="20"/>
    <n v="5"/>
    <n v="60"/>
  </r>
  <r>
    <n v="3497"/>
    <x v="255"/>
    <x v="2"/>
    <d v="2024-11-18T00:00:00"/>
    <x v="1"/>
    <x v="2"/>
    <x v="0"/>
    <s v="No"/>
    <s v="-"/>
    <s v="Yes"/>
    <n v="20"/>
    <n v="10"/>
    <n v="20"/>
  </r>
  <r>
    <n v="3498"/>
    <x v="256"/>
    <x v="1"/>
    <d v="2024-11-19T00:00:00"/>
    <x v="0"/>
    <x v="1"/>
    <x v="2"/>
    <s v="No"/>
    <s v="-"/>
    <s v="No"/>
    <n v="0"/>
    <n v="0"/>
    <n v="5"/>
  </r>
  <r>
    <n v="3499"/>
    <x v="257"/>
    <x v="0"/>
    <d v="2024-11-20T00:00:00"/>
    <x v="1"/>
    <x v="0"/>
    <x v="0"/>
    <s v="Yes"/>
    <n v="30"/>
    <s v="Yes"/>
    <n v="20"/>
    <n v="3"/>
    <n v="62"/>
  </r>
  <r>
    <n v="3500"/>
    <x v="258"/>
    <x v="2"/>
    <d v="2024-11-21T00:00:00"/>
    <x v="0"/>
    <x v="2"/>
    <x v="1"/>
    <s v="No"/>
    <s v="-"/>
    <s v="Yes"/>
    <n v="20"/>
    <n v="15"/>
    <n v="15"/>
  </r>
  <r>
    <n v="3501"/>
    <x v="259"/>
    <x v="1"/>
    <d v="2024-11-22T00:00:00"/>
    <x v="1"/>
    <x v="1"/>
    <x v="0"/>
    <s v="No"/>
    <s v="-"/>
    <s v="No"/>
    <n v="0"/>
    <n v="1"/>
    <n v="4"/>
  </r>
  <r>
    <n v="3502"/>
    <x v="260"/>
    <x v="0"/>
    <d v="2024-11-23T00:00:00"/>
    <x v="0"/>
    <x v="0"/>
    <x v="2"/>
    <s v="Yes"/>
    <n v="30"/>
    <s v="Yes"/>
    <n v="20"/>
    <n v="7"/>
    <n v="58"/>
  </r>
  <r>
    <n v="3503"/>
    <x v="119"/>
    <x v="2"/>
    <d v="2024-11-24T00:00:00"/>
    <x v="1"/>
    <x v="2"/>
    <x v="0"/>
    <s v="No"/>
    <s v="-"/>
    <s v="Yes"/>
    <n v="20"/>
    <n v="10"/>
    <n v="20"/>
  </r>
  <r>
    <n v="3504"/>
    <x v="261"/>
    <x v="1"/>
    <d v="2024-11-25T00:00:00"/>
    <x v="0"/>
    <x v="1"/>
    <x v="1"/>
    <s v="No"/>
    <s v="-"/>
    <s v="No"/>
    <n v="0"/>
    <n v="0"/>
    <n v="5"/>
  </r>
  <r>
    <n v="3505"/>
    <x v="262"/>
    <x v="0"/>
    <d v="2024-11-26T00:00:00"/>
    <x v="1"/>
    <x v="0"/>
    <x v="0"/>
    <s v="Yes"/>
    <n v="30"/>
    <s v="Yes"/>
    <n v="20"/>
    <n v="20"/>
    <n v="45"/>
  </r>
  <r>
    <n v="3506"/>
    <x v="263"/>
    <x v="2"/>
    <d v="2024-11-27T00:00:00"/>
    <x v="0"/>
    <x v="2"/>
    <x v="2"/>
    <s v="No"/>
    <s v="-"/>
    <s v="Yes"/>
    <n v="20"/>
    <n v="15"/>
    <n v="15"/>
  </r>
  <r>
    <n v="3507"/>
    <x v="264"/>
    <x v="1"/>
    <d v="2024-11-28T00:00:00"/>
    <x v="1"/>
    <x v="1"/>
    <x v="0"/>
    <s v="No"/>
    <s v="-"/>
    <s v="No"/>
    <n v="0"/>
    <n v="1"/>
    <n v="4"/>
  </r>
  <r>
    <n v="3508"/>
    <x v="265"/>
    <x v="0"/>
    <d v="2024-11-29T00:00:00"/>
    <x v="0"/>
    <x v="0"/>
    <x v="1"/>
    <s v="Yes"/>
    <n v="30"/>
    <s v="Yes"/>
    <n v="20"/>
    <n v="3"/>
    <n v="62"/>
  </r>
  <r>
    <n v="3509"/>
    <x v="266"/>
    <x v="2"/>
    <d v="2024-11-30T00:00:00"/>
    <x v="1"/>
    <x v="2"/>
    <x v="0"/>
    <s v="No"/>
    <s v="-"/>
    <s v="Yes"/>
    <n v="20"/>
    <n v="10"/>
    <n v="20"/>
  </r>
  <r>
    <n v="3510"/>
    <x v="267"/>
    <x v="1"/>
    <d v="2024-12-01T00:00:00"/>
    <x v="0"/>
    <x v="1"/>
    <x v="2"/>
    <s v="No"/>
    <s v="-"/>
    <s v="No"/>
    <n v="0"/>
    <n v="0"/>
    <n v="5"/>
  </r>
  <r>
    <n v="3511"/>
    <x v="268"/>
    <x v="0"/>
    <d v="2024-12-02T00:00:00"/>
    <x v="1"/>
    <x v="0"/>
    <x v="0"/>
    <s v="Yes"/>
    <n v="30"/>
    <s v="Yes"/>
    <n v="20"/>
    <n v="15"/>
    <n v="50"/>
  </r>
  <r>
    <n v="3512"/>
    <x v="269"/>
    <x v="2"/>
    <d v="2024-12-03T00:00:00"/>
    <x v="0"/>
    <x v="2"/>
    <x v="1"/>
    <s v="No"/>
    <s v="-"/>
    <s v="Yes"/>
    <n v="20"/>
    <n v="15"/>
    <n v="15"/>
  </r>
  <r>
    <n v="3513"/>
    <x v="270"/>
    <x v="1"/>
    <d v="2024-12-04T00:00:00"/>
    <x v="1"/>
    <x v="1"/>
    <x v="0"/>
    <s v="No"/>
    <s v="-"/>
    <s v="No"/>
    <n v="0"/>
    <n v="1"/>
    <n v="4"/>
  </r>
  <r>
    <n v="3514"/>
    <x v="271"/>
    <x v="0"/>
    <d v="2024-12-05T00:00:00"/>
    <x v="0"/>
    <x v="0"/>
    <x v="2"/>
    <s v="Yes"/>
    <n v="30"/>
    <s v="Yes"/>
    <n v="20"/>
    <n v="7"/>
    <n v="58"/>
  </r>
  <r>
    <n v="3515"/>
    <x v="130"/>
    <x v="2"/>
    <d v="2024-12-06T00:00:00"/>
    <x v="1"/>
    <x v="2"/>
    <x v="0"/>
    <s v="No"/>
    <s v="-"/>
    <s v="Yes"/>
    <n v="20"/>
    <n v="10"/>
    <n v="20"/>
  </r>
  <r>
    <n v="3516"/>
    <x v="131"/>
    <x v="1"/>
    <d v="2024-12-07T00:00:00"/>
    <x v="0"/>
    <x v="1"/>
    <x v="1"/>
    <s v="No"/>
    <s v="-"/>
    <s v="No"/>
    <n v="0"/>
    <n v="0"/>
    <n v="5"/>
  </r>
  <r>
    <n v="3517"/>
    <x v="181"/>
    <x v="0"/>
    <d v="2024-12-08T00:00:00"/>
    <x v="1"/>
    <x v="0"/>
    <x v="0"/>
    <s v="Yes"/>
    <n v="30"/>
    <s v="Yes"/>
    <n v="20"/>
    <n v="20"/>
    <n v="45"/>
  </r>
  <r>
    <n v="3518"/>
    <x v="272"/>
    <x v="2"/>
    <d v="2024-12-09T00:00:00"/>
    <x v="0"/>
    <x v="2"/>
    <x v="2"/>
    <s v="No"/>
    <s v="-"/>
    <s v="Yes"/>
    <n v="20"/>
    <n v="12"/>
    <n v="18"/>
  </r>
  <r>
    <n v="3519"/>
    <x v="273"/>
    <x v="1"/>
    <d v="2024-12-10T00:00:00"/>
    <x v="1"/>
    <x v="1"/>
    <x v="0"/>
    <s v="No"/>
    <s v="-"/>
    <s v="No"/>
    <n v="0"/>
    <n v="2"/>
    <n v="3"/>
  </r>
  <r>
    <n v="3520"/>
    <x v="274"/>
    <x v="0"/>
    <d v="2024-12-11T00:00:00"/>
    <x v="0"/>
    <x v="0"/>
    <x v="1"/>
    <s v="Yes"/>
    <n v="30"/>
    <s v="Yes"/>
    <n v="20"/>
    <n v="5"/>
    <n v="60"/>
  </r>
  <r>
    <n v="3521"/>
    <x v="275"/>
    <x v="2"/>
    <d v="2024-12-12T00:00:00"/>
    <x v="1"/>
    <x v="2"/>
    <x v="0"/>
    <s v="No"/>
    <s v="-"/>
    <s v="Yes"/>
    <n v="20"/>
    <n v="10"/>
    <n v="20"/>
  </r>
  <r>
    <n v="3522"/>
    <x v="276"/>
    <x v="1"/>
    <d v="2024-12-13T00:00:00"/>
    <x v="0"/>
    <x v="1"/>
    <x v="2"/>
    <s v="No"/>
    <s v="-"/>
    <s v="No"/>
    <n v="0"/>
    <n v="0"/>
    <n v="5"/>
  </r>
  <r>
    <n v="3523"/>
    <x v="277"/>
    <x v="0"/>
    <d v="2024-12-14T00:00:00"/>
    <x v="1"/>
    <x v="0"/>
    <x v="0"/>
    <s v="Yes"/>
    <n v="30"/>
    <s v="Yes"/>
    <n v="20"/>
    <n v="3"/>
    <n v="62"/>
  </r>
  <r>
    <n v="3524"/>
    <x v="278"/>
    <x v="2"/>
    <d v="2024-12-15T00:00:00"/>
    <x v="0"/>
    <x v="2"/>
    <x v="1"/>
    <s v="No"/>
    <s v="-"/>
    <s v="Yes"/>
    <n v="20"/>
    <n v="15"/>
    <n v="15"/>
  </r>
  <r>
    <n v="3525"/>
    <x v="279"/>
    <x v="1"/>
    <d v="2024-12-16T00:00:00"/>
    <x v="1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DBFF6-4442-4C4F-B33B-BC59C3E84D51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1:D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0D485-DD37-4900-BDEF-79943F9299C5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2:D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17">
      <pivotArea collapsedLevelsAreSubtotals="1" fieldPosition="0">
        <references count="1">
          <reference field="2" count="0"/>
        </references>
      </pivotArea>
    </format>
    <format dxfId="16">
      <pivotArea grandRow="1"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91522-3B9A-4763-B846-3782D7E0445A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2:D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9FA0B9E-51EF-4B53-80C9-FE8F2E196B00}" sourceName="Subscription Type">
  <pivotTables>
    <pivotTable tabId="3" name="tbl_anual_total"/>
    <pivotTable tabId="3" name="tbl_eaSeasonpass_total"/>
    <pivotTable tabId="3" name="Tabela dinâmica3"/>
  </pivotTables>
  <data>
    <tabular pivotCacheId="64583413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4337035-2692-4056-A062-ACB19FC28D6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3">
  <autoFilter ref="A1:M296" xr:uid="{34E0E886-4200-4B36-97B3-63DB74FF40A0}"/>
  <tableColumns count="13">
    <tableColumn id="1" xr3:uid="{C4A90516-688A-46BF-9167-EA16C2A8A652}" name="Subscriber ID" dataDxfId="32"/>
    <tableColumn id="2" xr3:uid="{53DD39D0-2220-4121-9E9D-4EAA7E151C0F}" name="Name" dataDxfId="31"/>
    <tableColumn id="3" xr3:uid="{4F5FF271-4C57-4BE0-8F2C-F82C8551625C}" name="Plan" dataDxfId="30"/>
    <tableColumn id="4" xr3:uid="{8C17EB93-79B9-4E55-B8F7-BEB82F8253E9}" name="Start Date" dataDxfId="29"/>
    <tableColumn id="5" xr3:uid="{48CEDF9B-1689-482A-A828-5CCE7713264A}" name="Auto Renewal" dataDxfId="28"/>
    <tableColumn id="6" xr3:uid="{78B82374-9AA7-4E38-AE4F-78CDE6C83720}" name="Subscription Price" dataDxfId="27" dataCellStyle="Moeda"/>
    <tableColumn id="7" xr3:uid="{F2433F68-AF33-49D0-B1FB-19A396074EDE}" name="Subscription Type" dataDxfId="26"/>
    <tableColumn id="8" xr3:uid="{FD4D9C95-F6E5-4933-9068-A71FF7DF9343}" name="EA Play Season Pass" dataDxfId="25"/>
    <tableColumn id="13" xr3:uid="{978DD0D2-834E-4CE4-A39B-30976086932F}" name="EA Play Season Pass_x000a_Price" dataDxfId="24" dataCellStyle="Moeda"/>
    <tableColumn id="9" xr3:uid="{6E29F111-C395-4580-9DAD-3407D9E8B1A4}" name="Minecraft Season Pass" dataDxfId="23"/>
    <tableColumn id="10" xr3:uid="{EF544EAA-7F25-4FD5-A10E-8E62804DB9E3}" name="Minecraft Season Pass Price" dataDxfId="22" dataCellStyle="Moeda"/>
    <tableColumn id="11" xr3:uid="{7F6EB64A-1F07-4E48-9F0F-AC7D9DCD26F8}" name="Coupon Value" dataDxfId="21" dataCellStyle="Moeda"/>
    <tableColumn id="12" xr3:uid="{2B04ABC8-DE6F-426E-ADC0-D8AFC68CA58E}" name="Total Value" dataDxfId="2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32"/>
  <sheetViews>
    <sheetView showGridLines="0" zoomScaleNormal="100" workbookViewId="0">
      <selection activeCell="K36" sqref="K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32" spans="2:8" x14ac:dyDescent="0.25">
      <c r="D32" t="s">
        <v>313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K36" sqref="K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F35"/>
  <sheetViews>
    <sheetView showGridLines="0" topLeftCell="A7" workbookViewId="0">
      <selection activeCell="K36" sqref="K36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37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t="s">
        <v>314</v>
      </c>
    </row>
    <row r="7" spans="3:4" x14ac:dyDescent="0.25">
      <c r="C7" t="s">
        <v>318</v>
      </c>
    </row>
    <row r="10" spans="3:4" x14ac:dyDescent="0.25">
      <c r="C10" s="12" t="s">
        <v>16</v>
      </c>
      <c r="D10" t="s">
        <v>20</v>
      </c>
    </row>
    <row r="12" spans="3:4" x14ac:dyDescent="0.25">
      <c r="C12" s="12" t="s">
        <v>315</v>
      </c>
      <c r="D12" t="s">
        <v>317</v>
      </c>
    </row>
    <row r="13" spans="3:4" x14ac:dyDescent="0.25">
      <c r="C13" s="13" t="s">
        <v>23</v>
      </c>
      <c r="D13" s="14">
        <v>2824</v>
      </c>
    </row>
    <row r="14" spans="3:4" x14ac:dyDescent="0.25">
      <c r="C14" s="13" t="s">
        <v>19</v>
      </c>
      <c r="D14" s="14">
        <v>747</v>
      </c>
    </row>
    <row r="15" spans="3:4" x14ac:dyDescent="0.25">
      <c r="C15" s="13" t="s">
        <v>316</v>
      </c>
      <c r="D15" s="14">
        <v>3571</v>
      </c>
    </row>
    <row r="18" spans="3:6" x14ac:dyDescent="0.25">
      <c r="C18" t="s">
        <v>320</v>
      </c>
    </row>
    <row r="20" spans="3:6" x14ac:dyDescent="0.25">
      <c r="C20" s="12" t="s">
        <v>16</v>
      </c>
      <c r="D20" t="s">
        <v>20</v>
      </c>
    </row>
    <row r="22" spans="3:6" x14ac:dyDescent="0.25">
      <c r="C22" s="12" t="s">
        <v>315</v>
      </c>
      <c r="D22" t="s">
        <v>321</v>
      </c>
    </row>
    <row r="23" spans="3:6" x14ac:dyDescent="0.25">
      <c r="C23" s="13" t="s">
        <v>22</v>
      </c>
      <c r="D23" s="17">
        <v>0</v>
      </c>
    </row>
    <row r="24" spans="3:6" x14ac:dyDescent="0.25">
      <c r="C24" s="13" t="s">
        <v>26</v>
      </c>
      <c r="D24" s="17">
        <v>0</v>
      </c>
      <c r="F24" s="17">
        <f>GETPIVOTDATA("EA Play Season Pass
Price",$C$22)</f>
        <v>1350</v>
      </c>
    </row>
    <row r="25" spans="3:6" x14ac:dyDescent="0.25">
      <c r="C25" s="13" t="s">
        <v>18</v>
      </c>
      <c r="D25" s="17">
        <v>1350</v>
      </c>
    </row>
    <row r="26" spans="3:6" x14ac:dyDescent="0.25">
      <c r="C26" s="13" t="s">
        <v>316</v>
      </c>
      <c r="D26" s="17">
        <v>1350</v>
      </c>
    </row>
    <row r="27" spans="3:6" x14ac:dyDescent="0.25">
      <c r="C27" t="s">
        <v>322</v>
      </c>
    </row>
    <row r="29" spans="3:6" x14ac:dyDescent="0.25">
      <c r="C29" s="12" t="s">
        <v>16</v>
      </c>
      <c r="D29" t="s">
        <v>20</v>
      </c>
    </row>
    <row r="31" spans="3:6" x14ac:dyDescent="0.25">
      <c r="C31" s="12" t="s">
        <v>315</v>
      </c>
      <c r="D31" t="s">
        <v>323</v>
      </c>
    </row>
    <row r="32" spans="3:6" x14ac:dyDescent="0.25">
      <c r="C32" s="13" t="s">
        <v>22</v>
      </c>
      <c r="D32" s="14">
        <v>0</v>
      </c>
    </row>
    <row r="33" spans="3:6" x14ac:dyDescent="0.25">
      <c r="C33" s="13" t="s">
        <v>26</v>
      </c>
      <c r="D33" s="14">
        <v>900</v>
      </c>
      <c r="F33" s="17">
        <f>GETPIVOTDATA("Minecraft Season Pass Price",$C$31)</f>
        <v>1800</v>
      </c>
    </row>
    <row r="34" spans="3:6" x14ac:dyDescent="0.25">
      <c r="C34" s="13" t="s">
        <v>18</v>
      </c>
      <c r="D34" s="14">
        <v>900</v>
      </c>
    </row>
    <row r="35" spans="3:6" x14ac:dyDescent="0.25">
      <c r="C35" s="13" t="s">
        <v>316</v>
      </c>
      <c r="D35" s="14">
        <v>1800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EB155"/>
  <sheetViews>
    <sheetView showGridLines="0" showRowColHeaders="0" tabSelected="1" zoomScale="80" zoomScaleNormal="80" workbookViewId="0">
      <selection activeCell="X13" sqref="X13"/>
    </sheetView>
  </sheetViews>
  <sheetFormatPr defaultRowHeight="15" x14ac:dyDescent="0.25"/>
  <cols>
    <col min="1" max="1" width="31.28515625" style="4" customWidth="1"/>
    <col min="2" max="2" width="2.42578125" style="7" customWidth="1"/>
    <col min="12" max="12" width="6.5703125" customWidth="1"/>
  </cols>
  <sheetData>
    <row r="1" spans="2:132" x14ac:dyDescent="0.25">
      <c r="B1" s="15"/>
    </row>
    <row r="2" spans="2:132" ht="22.5" customHeight="1" thickBot="1" x14ac:dyDescent="0.3">
      <c r="B2" s="15"/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2:132" ht="15.75" customHeight="1" thickTop="1" x14ac:dyDescent="0.25">
      <c r="B3" s="15"/>
    </row>
    <row r="4" spans="2:132" x14ac:dyDescent="0.25">
      <c r="B4" s="15"/>
    </row>
    <row r="5" spans="2:132" ht="4.5" customHeight="1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</row>
    <row r="6" spans="2:132" x14ac:dyDescent="0.25">
      <c r="C6" s="21" t="s">
        <v>324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</row>
    <row r="7" spans="2:132" x14ac:dyDescent="0.25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</row>
    <row r="8" spans="2:132" ht="39" customHeigh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2:132" ht="8.25" customHeight="1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</row>
    <row r="10" spans="2:132" ht="7.5" customHeight="1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</row>
    <row r="11" spans="2:132" ht="10.5" customHeight="1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</row>
    <row r="12" spans="2:132" ht="9.75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</row>
    <row r="13" spans="2:132" ht="33" customHeight="1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0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</row>
    <row r="14" spans="2:132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</row>
    <row r="15" spans="2:132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</row>
    <row r="16" spans="2:132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</row>
    <row r="17" spans="3:132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</row>
    <row r="18" spans="3:132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</row>
    <row r="19" spans="3:132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</row>
    <row r="20" spans="3:132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</row>
    <row r="21" spans="3:132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</row>
    <row r="22" spans="3:132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</row>
    <row r="23" spans="3:132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1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</row>
    <row r="24" spans="3:132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</row>
    <row r="25" spans="3:132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</row>
    <row r="26" spans="3:132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</row>
    <row r="27" spans="3:132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</row>
    <row r="28" spans="3:132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</row>
    <row r="29" spans="3:132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</row>
    <row r="30" spans="3:132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</row>
    <row r="31" spans="3:132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</row>
    <row r="32" spans="3:132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</row>
    <row r="33" spans="3:132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</row>
    <row r="34" spans="3:132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</row>
    <row r="35" spans="3:132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</row>
    <row r="36" spans="3:132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</row>
    <row r="37" spans="3:132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</row>
    <row r="38" spans="3:132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</row>
    <row r="39" spans="3:132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</row>
    <row r="40" spans="3:132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</row>
    <row r="41" spans="3:132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</row>
    <row r="42" spans="3:132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</row>
    <row r="43" spans="3:132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</row>
    <row r="44" spans="3:132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</row>
    <row r="45" spans="3:132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</row>
    <row r="46" spans="3:132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</row>
    <row r="47" spans="3:132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</row>
    <row r="48" spans="3:132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</row>
    <row r="49" spans="3:132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</row>
    <row r="50" spans="3:132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</row>
    <row r="51" spans="3:132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</row>
    <row r="52" spans="3:132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</row>
    <row r="53" spans="3:132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</row>
    <row r="54" spans="3:132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</row>
    <row r="55" spans="3:132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</row>
    <row r="56" spans="3:132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</row>
    <row r="57" spans="3:132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</row>
    <row r="58" spans="3:132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</row>
    <row r="59" spans="3:132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</row>
    <row r="60" spans="3:132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</row>
    <row r="61" spans="3:132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</row>
    <row r="62" spans="3:132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</row>
    <row r="63" spans="3:132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</row>
    <row r="64" spans="3:132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</row>
    <row r="65" spans="3:132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</row>
    <row r="66" spans="3:132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</row>
    <row r="67" spans="3:132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</row>
    <row r="68" spans="3:132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</row>
    <row r="69" spans="3:132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</row>
    <row r="70" spans="3:132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</row>
    <row r="71" spans="3:132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</row>
    <row r="72" spans="3:132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</row>
    <row r="73" spans="3:132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</row>
    <row r="74" spans="3:132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</row>
    <row r="75" spans="3:132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</row>
    <row r="76" spans="3:132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</row>
    <row r="77" spans="3:132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</row>
    <row r="78" spans="3:132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</row>
    <row r="79" spans="3:132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</row>
    <row r="80" spans="3:132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</row>
    <row r="81" spans="3:132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</row>
    <row r="82" spans="3:132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</row>
    <row r="83" spans="3:132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</row>
    <row r="84" spans="3:132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</row>
    <row r="85" spans="3:132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</row>
    <row r="86" spans="3:132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</row>
    <row r="87" spans="3:132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</row>
    <row r="88" spans="3:132" x14ac:dyDescent="0.25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</row>
    <row r="89" spans="3:132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</row>
    <row r="90" spans="3:132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</row>
    <row r="91" spans="3:13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</row>
    <row r="92" spans="3:132" x14ac:dyDescent="0.25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</row>
    <row r="93" spans="3:132" x14ac:dyDescent="0.25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</row>
    <row r="94" spans="3:132" x14ac:dyDescent="0.25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</row>
    <row r="95" spans="3:132" x14ac:dyDescent="0.25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</row>
    <row r="96" spans="3:132" x14ac:dyDescent="0.25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</row>
    <row r="97" spans="3:132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</row>
    <row r="98" spans="3:13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</row>
    <row r="99" spans="3:132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</row>
    <row r="100" spans="3:132" x14ac:dyDescent="0.25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</row>
    <row r="101" spans="3:132" x14ac:dyDescent="0.25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</row>
    <row r="102" spans="3:132" x14ac:dyDescent="0.25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</row>
    <row r="103" spans="3:132" x14ac:dyDescent="0.25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</row>
    <row r="104" spans="3:132" x14ac:dyDescent="0.25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</row>
    <row r="105" spans="3:132" x14ac:dyDescent="0.25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</row>
    <row r="106" spans="3:132" x14ac:dyDescent="0.25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</row>
    <row r="107" spans="3:132" x14ac:dyDescent="0.25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</row>
    <row r="108" spans="3:132" x14ac:dyDescent="0.25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</row>
    <row r="109" spans="3:132" x14ac:dyDescent="0.25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</row>
    <row r="110" spans="3:132" x14ac:dyDescent="0.25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</row>
    <row r="111" spans="3:132" x14ac:dyDescent="0.25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</row>
    <row r="112" spans="3:132" x14ac:dyDescent="0.25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</row>
    <row r="113" spans="3:132" x14ac:dyDescent="0.25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</row>
    <row r="114" spans="3:132" x14ac:dyDescent="0.25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</row>
    <row r="115" spans="3:132" x14ac:dyDescent="0.25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</row>
    <row r="116" spans="3:132" x14ac:dyDescent="0.25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</row>
    <row r="117" spans="3:132" x14ac:dyDescent="0.25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</row>
    <row r="118" spans="3:132" x14ac:dyDescent="0.25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</row>
    <row r="119" spans="3:132" x14ac:dyDescent="0.25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</row>
    <row r="120" spans="3:132" x14ac:dyDescent="0.25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</row>
    <row r="121" spans="3:132" x14ac:dyDescent="0.25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</row>
    <row r="122" spans="3:132" x14ac:dyDescent="0.25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</row>
    <row r="123" spans="3:132" x14ac:dyDescent="0.25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</row>
    <row r="124" spans="3:132" x14ac:dyDescent="0.25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</row>
    <row r="125" spans="3:132" x14ac:dyDescent="0.25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</row>
    <row r="126" spans="3:132" x14ac:dyDescent="0.25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</row>
    <row r="127" spans="3:132" x14ac:dyDescent="0.25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</row>
    <row r="128" spans="3:132" x14ac:dyDescent="0.2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</row>
    <row r="129" spans="3:132" x14ac:dyDescent="0.2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</row>
    <row r="130" spans="3:132" x14ac:dyDescent="0.2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</row>
    <row r="131" spans="3:132" x14ac:dyDescent="0.2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</row>
    <row r="132" spans="3:132" x14ac:dyDescent="0.2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</row>
    <row r="133" spans="3:132" x14ac:dyDescent="0.2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</row>
    <row r="134" spans="3:132" x14ac:dyDescent="0.2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</row>
    <row r="135" spans="3:132" x14ac:dyDescent="0.2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</row>
    <row r="136" spans="3:132" x14ac:dyDescent="0.2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</row>
    <row r="137" spans="3:132" x14ac:dyDescent="0.2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</row>
    <row r="138" spans="3:132" x14ac:dyDescent="0.2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</row>
    <row r="139" spans="3:132" x14ac:dyDescent="0.2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</row>
    <row r="140" spans="3:132" x14ac:dyDescent="0.25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</row>
    <row r="141" spans="3:132" x14ac:dyDescent="0.25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</row>
    <row r="142" spans="3:132" x14ac:dyDescent="0.25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</row>
    <row r="143" spans="3:132" x14ac:dyDescent="0.25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</row>
    <row r="144" spans="3:132" x14ac:dyDescent="0.25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</row>
    <row r="145" spans="3:132" x14ac:dyDescent="0.25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</row>
    <row r="146" spans="3:132" x14ac:dyDescent="0.25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</row>
    <row r="147" spans="3:132" x14ac:dyDescent="0.25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</row>
    <row r="148" spans="3:132" x14ac:dyDescent="0.25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</row>
    <row r="149" spans="3:132" x14ac:dyDescent="0.25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</row>
    <row r="150" spans="3:132" x14ac:dyDescent="0.25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</row>
    <row r="151" spans="3:132" x14ac:dyDescent="0.25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</row>
    <row r="152" spans="3:132" x14ac:dyDescent="0.25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</row>
    <row r="153" spans="3:132" x14ac:dyDescent="0.25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</row>
    <row r="154" spans="3:132" x14ac:dyDescent="0.25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</row>
    <row r="155" spans="3:132" x14ac:dyDescent="0.25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Ernesto Santana</cp:lastModifiedBy>
  <dcterms:created xsi:type="dcterms:W3CDTF">2024-12-19T13:13:10Z</dcterms:created>
  <dcterms:modified xsi:type="dcterms:W3CDTF">2026-02-16T18:33:18Z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